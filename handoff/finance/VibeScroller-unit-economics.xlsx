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14951fb9a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bce08049cc94617"/>
    <x:sheet xmlns:r="http://schemas.openxmlformats.org/officeDocument/2006/relationships" name="Assumptions" sheetId="2" r:id="Re6d83dd854704778"/>
    <x:sheet xmlns:r="http://schemas.openxmlformats.org/officeDocument/2006/relationships" name="Catalogue" sheetId="3" r:id="Reb4ca799e0294c7a"/>
    <x:sheet xmlns:r="http://schemas.openxmlformats.org/officeDocument/2006/relationships" name="Scenario inputs" sheetId="4" r:id="Rf059950f0cd44b24"/>
    <x:sheet xmlns:r="http://schemas.openxmlformats.org/officeDocument/2006/relationships" name="Scenarios" sheetId="5" r:id="R657440d027494a6c"/>
    <x:sheet xmlns:r="http://schemas.openxmlformats.org/officeDocument/2006/relationships" name="Volume" sheetId="6" r:id="Red9ba09d0dc74461"/>
    <x:sheet xmlns:r="http://schemas.openxmlformats.org/officeDocument/2006/relationships" name="Job estimate" sheetId="7" r:id="R6697db6bb61e458a"/>
  </x:sheets>
</x:workbook>
</file>

<file path=xl/comments1.xml><?xml version="1.0" encoding="utf-8"?>
<x:comments xmlns:x="http://schemas.openxmlformats.org/spreadsheetml/2006/main">
  <x:authors>
    <x:author>tc={B506B7D2-A3A3-BBB6-887C-ECFCD6BA583B}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Package review completed 2026-09-30. All 10 scenario outputs were reconciled against finance/calculate.py. Inputs remain assumptions where labeled.</x:t>
        </x:r>
      </x:text>
    </x:comment>
  </x:commentList>
</x:comments>
</file>

<file path=xl/comments2.xml><?xml version="1.0" encoding="utf-8"?>
<x:comments xmlns:x="http://schemas.openxmlformats.org/spreadsheetml/2006/main">
  <x:authors>
    <x:author>tc={2A5D70BA-4224-33F3-A405-4F27502143B3}</x:author>
    <x:author>tc={F9E088D7-1830-E5C7-6C16-A8EBDA4F7888}</x:author>
    <x:author>tc={43A5B310-BB32-5938-0364-B0D7BEEC3A59}</x:author>
    <x:author>tc={99791285-E979-0DE2-15B3-96F557857FF3}</x:author>
    <x:author>tc={A3EAD769-75DB-596C-C54D-904D19B99EA6}</x:author>
    <x:author>tc={BA6D352A-5FA3-69A0-E9FF-67F059301829}</x:author>
    <x:author>tc={C1CC5916-A05D-4E25-A09F-D098D089CABB}</x:author>
    <x:author>tc={64725D90-A08C-341C-C3AB-4A4E4EFF2AF2}</x:author>
    <x:author>tc={4016A607-E5C2-EF6B-8781-0B451B9444B9}</x:author>
    <x:author>tc={878E4CEC-8A53-8F03-F35A-94E5CE18707F}</x:author>
    <x:author>tc={6BCCA060-8170-0217-F20E-8498B21554C9}</x:author>
    <x:author>tc={13A60C2F-61CE-3DEA-3F96-EA2E51A65A33}</x:author>
    <x:author>tc={14EB9D97-464E-7287-C36B-49D9049B658C}</x:author>
    <x:author>tc={33099E4D-4A45-E62B-2991-474838A17713}</x:author>
    <x:author>tc={6B7BD4B4-7E09-90F6-03E6-F637D808B539}</x:author>
    <x:author>tc={A36B3893-946C-273C-73F8-C76006F71A6F}</x:author>
    <x:author>tc={3944595F-E3D6-14A0-8A64-47986FD1B465}</x:author>
    <x:author>tc={4C995381-212A-EA1F-FF41-6EB263EEFBC6}</x:author>
    <x:author>tc={DA8C5FB7-E0AF-CEBC-2232-9771FF9EBD61}</x:author>
    <x:author>tc={7152BA32-A488-833E-D4FD-73AC0E83803D}</x:author>
    <x:author>tc={C652D7C1-F320-DD2E-D7E2-B49BFF24AF82}</x:author>
    <x:author>tc={9EA63248-F21B-B00F-C46E-3E994F1BD077}</x:author>
    <x:author>tc={8E63153C-D87B-4CEC-A9BF-976B63387D87}</x:author>
    <x:author>tc={C1C3CC84-FDDD-2D3F-1565-068DBF07B13A}</x:author>
    <x:author>tc={EBB5709F-032F-4809-A3F5-FB9C194DD23B}</x:author>
    <x:author>tc={F95DCF54-955C-8F04-FCBE-090126FA98FF}</x:author>
    <x:author>tc={C5C46441-EF3F-EDE2-8461-919DEE354A4B}</x:author>
    <x:author>tc={C7BAAFB0-357E-0582-B580-6A9898439EC4}</x:author>
    <x:author>tc={79ED5698-8A1F-F5AA-0523-0CCDB5C2F01F}</x:author>
    <x:author>tc={A085E861-B7E6-7C9E-63CD-2F68434DA881}</x:author>
    <x:author>tc={9EBD5F67-B7DF-6680-26FE-680FFFA7C9DC}</x:author>
    <x:author>tc={7337382C-57C0-A30A-D000-3621AFADA4D0}</x:author>
    <x:author>tc={90845953-D7C5-DB57-89B0-4FC58CA13132}</x:author>
    <x:author>tc={442D5F8D-6C2F-9ACA-0577-58FFBBC51665}</x:author>
    <x:author>tc={AFE9D004-1D8A-C811-F0A9-C23319D12F3F}</x:author>
    <x:author>tc={DB07BFBA-FD0B-4580-35F8-CF8605423B3D}</x:author>
    <x:author>tc={1CE3F3E8-8EF5-304B-187D-20DDE8A1D5D6}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Scenario input, not verified company tax status. See docs/SOURCES.md S34.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Owner planning model
Reduces net revenue. Original processing fees remain in costs.
Reviewed 2026-09-29.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https://stripe.com/ro/pricing
Blended estimate above 1.5 percent standard EEA rate; test higher-card-cost scenario.
Reviewed 2026-09-29.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published. Source: https://stripe.com/en-ro/billing/pricing
Pay-as-you-go Billing; confirm account terms.
Reviewed 2026-09-29.</x:t>
        </x:r>
      </x:text>
    </x:comment>
    <x:comment ref="B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https://stripe.com/tax/pricing
Conservative reserve for selected Tax integration, not filing service.
Reviewed 2026-09-29.</x:t>
        </x:r>
      </x:text>
    </x:comment>
    <x:comment ref="B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published. Source: https://stripe.com/ro/pricing
Standard price component; actual provider contract controls.
Reviewed 2026-09-29.</x:t>
        </x:r>
      </x:text>
    </x:comment>
    <x:comment ref="B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scenario. Source: Planning assumption, not a current FX quote
Editable conversion for fixed payment fees.
Reviewed 2026-09-29.</x:t>
        </x:r>
      </x:text>
    </x:comment>
    <x:comment ref="B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assumption
Operational FX and payment-currency buffer. Not a quoted Stripe rate.
Reviewed 2026-09-29.</x:t>
        </x:r>
      </x:text>
    </x:comment>
    <x:comment ref="B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assumption
Revenue loss is included in refund assumption. This adds dispute handling fee exposure.
Reviewed 2026-09-29.</x:t>
        </x:r>
      </x:text>
    </x:comment>
    <x:comment ref="B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reserve, verify merchant schedule
Not a provider quote.
Reviewed 2026-09-29.</x:t>
        </x:r>
      </x:text>
    </x:comment>
    <x:comment ref="B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design. Source: docs/BILLING-AND-TAX.md
Internal ceiling includes compute, model, tool, relevant tax, FX and retry exposure; do not add the same cost twice.
Reviewed 2026-09-29.</x:t>
        </x:r>
      </x:text>
    </x:comment>
    <x:comment ref="B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No production observations yet
Also calculate 100 percent consumption.
Reviewed 2026-09-29.</x:t>
        </x:r>
      </x:text>
    </x:comment>
    <x:comment ref="B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reserve
0.35 storage/backend/email/monitoring plus 0.20 support and invoice handling. Metered jobs excluded.
Reviewed 2026-09-29.</x:t>
        </x:r>
      </x:text>
    </x:comment>
    <x:comment ref="B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reserve
0.55 storage/backend/email/monitoring plus 0.40 support and invoice handling. Metered jobs excluded.
Reviewed 2026-09-29.</x:t>
        </x:r>
      </x:text>
    </x:comment>
    <x:comment ref="B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scenario. Source: https://vercel.com/pricing
New paid host plus small overhead reserve. Test EUR 8 lean and EUR 80 growing-operations profiles.
Reviewed 2026-09-29.</x:t>
        </x:r>
      </x:text>
    </x:comment>
    <x:comment ref="B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No production observations yet
Pro share is the remainder.
Reviewed 2026-09-29.</x:t>
        </x:r>
      </x:text>
    </x:comment>
    <x:comment ref="B2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No production observations yet
Interval mix, not payment cash timing.
Reviewed 2026-09-29.</x:t>
        </x:r>
      </x:text>
    </x:comment>
    <x:comment ref="B2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No production observations yet
Annual share is the remainder.
Reviewed 2026-09-29.</x:t>
        </x:r>
      </x:text>
    </x:comment>
    <x:comment ref="B2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owner_decision. Source: Owner instructions
Before company tax, excluding founder salary, marketing and development.
Reviewed 2026-09-29.</x:t>
        </x:r>
      </x:text>
    </x:comment>
    <x:comment ref="B2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normalization
For monthly equivalents only; actual weekly periods are seven days.
Reviewed 2026-09-29.</x:t>
        </x:r>
      </x:text>
    </x:comment>
    <x:comment ref="B25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design. Source: Product catalogue
Stripe week interval.
Reviewed 2026-09-29.</x:t>
        </x:r>
      </x:text>
    </x:comment>
    <x:comment ref="B2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design. Source: Product catalogue
Annual revenue recognized over twelve months.
Reviewed 2026-09-29.</x:t>
        </x:r>
      </x:text>
    </x:comment>
    <x:comment ref="B2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scenario. Source: Planning assumption, not current FX quote
Only used in example provider-cost calculations.
Reviewed 2026-09-29.</x:t>
        </x:r>
      </x:text>
    </x:comment>
    <x:comment ref="B2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scenario. Source: Conservative unrecoverable-input-tax scenario
Only provider example. Included-credit ceiling already includes applicable supplier tax.
Reviewed 2026-09-29.</x:t>
        </x:r>
      </x:text>
    </x:comment>
    <x:comment ref="B2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contingency
Example quote buffer, not measured retries.
Reviewed 2026-09-29.</x:t>
        </x:r>
      </x:text>
    </x:comment>
    <x:comment ref="B3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published_estimate. Source: https://developers.openai.com/api/docs/pricing
gpt-4o-mini-transcribe estimate.
Reviewed 2026-09-29.</x:t>
        </x:r>
      </x:text>
    </x:comment>
    <x:comment ref="B3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published. Source: https://developers.openai.com/api/docs/models/gpt-5.4-mini
Standard candidate price at review.
Reviewed 2026-09-29.</x:t>
        </x:r>
      </x:text>
    </x:comment>
    <x:comment ref="B3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published. Source: https://developers.openai.com/api/docs/models/gpt-5.4-mini
Include billed reasoning tokens where applicable.
Reviewed 2026-09-29.</x:t>
        </x:r>
      </x:text>
    </x:comment>
    <x:comment ref="B3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published. Source: https://e2b.dev/pricing
Base resource price, verify current invoice.
Reviewed 2026-09-29.</x:t>
        </x:r>
      </x:text>
    </x:comment>
    <x:comment ref="B34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published. Source: https://e2b.dev/pricing
Additional disk, minimum billing or network charges must be added if applicable.
Reviewed 2026-09-29.</x:t>
        </x:r>
      </x:text>
    </x:comment>
    <x:comment ref="B35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example. Source: Owner workload example
Illustrative short video, not measured median.
Reviewed 2026-09-29.</x:t>
        </x:r>
      </x:text>
    </x:comment>
    <x:comment ref="B36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Unbenchmarked request budget
Actual image tokenization and provider usage replace this estimate.
Reviewed 2026-09-29.</x:t>
        </x:r>
      </x:text>
    </x:comment>
    <x:comment ref="B3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Unbenchmarked request budget
Source understanding only, excludes project planning and coding.
Reviewed 2026-09-29.</x:t>
        </x:r>
      </x:text>
    </x:comment>
    <x:comment ref="B3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Unbenchmarked media preparation
Default example 2 vCPU and 1 GiB.
Reviewed 2026-09-29.</x:t>
        </x:r>
      </x:text>
    </x:comment>
    <x:comment ref="B39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design. Source: Cloud worker initial default
Resource quote can change per authorized task.
Reviewed 2026-09-29.</x:t>
        </x:r>
      </x:text>
    </x:comment>
    <x:comment ref="B40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design. Source: Cloud worker initial default
Large builds require a new quote.
Reviewed 2026-09-29.</x:t>
        </x:r>
      </x:text>
    </x:comment>
    <x:comment ref="B4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Network, storage, and minimum-billing reserve
Example only. Actual cost ledger replaces this input.
Reviewed 2026-09-29.</x:t>
        </x:r>
      </x:text>
    </x:comment>
  </x:commentList>
</x:comments>
</file>

<file path=xl/comments3.xml><?xml version="1.0" encoding="utf-8"?>
<x:comments xmlns:x="http://schemas.openxmlformats.org/spreadsheetml/2006/main">
  <x:authors>
    <x:author>tc={434EFC2F-8465-DBDE-9F83-CF4BC3750EF4}</x:author>
    <x:author>tc={F1069725-9E39-8FC9-2B2C-281A6B47C00A}</x:author>
    <x:author>tc={511B3D87-BBF0-9F93-A5CF-DACD345ABA81}</x:author>
    <x:author>tc={B3153FED-3579-0A4A-B395-CD2352F38930}</x:author>
    <x:author>tc={9E98CC1E-26A2-334B-3A58-2D133FBBA7E8}</x:author>
    <x:author>tc={775C4602-9305-1232-2250-8CCD2888978E}</x:author>
    <x:author>tc={0B78CB53-5F5E-B573-4C5E-EAC588DB0359}</x:author>
    <x:author>tc={F1A6590F-0ED5-7F19-3178-44C727BA6314}</x:author>
    <x:author>tc={1FC0535A-9052-6525-76A1-B7C451C4E985}</x:author>
    <x:author>tc={6B45158E-2A8C-EEC2-A783-3B17925DAFDF}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C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D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E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F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B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C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D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E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F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</x:commentList>
</x:comments>
</file>

<file path=xl/comments4.xml><?xml version="1.0" encoding="utf-8"?>
<x:comments xmlns:x="http://schemas.openxmlformats.org/spreadsheetml/2006/main">
  <x:authors>
    <x:author>tc={EA8A8CD1-B892-A880-07AB-3A8796770BBE}</x:author>
    <x:author>tc={061321F5-21D5-E44B-9CDF-668CD0C7A521}</x:author>
    <x:author>tc={41C8D2BB-A816-237B-93A0-70F8DAB22734}</x:author>
    <x:author>tc={A0BBF21E-9D05-DE8F-C647-5A11DA7D92EC}</x:author>
    <x:author>tc={010B8A62-8B6B-B8CB-0F16-5C42CD56BEB7}</x:author>
    <x:author>tc={9142B4AB-776C-BE4B-7A17-F784ACE88981}</x:author>
    <x:author>tc={42DA3D66-3856-E597-6774-9923314CF8E6}</x:author>
    <x:author>tc={724DB911-8612-DF9B-6215-BE15213081B7}</x:author>
    <x:author>tc={3E293BF3-9303-F378-F52C-6B810618C914}</x:author>
    <x:author>tc={63628F6D-08D0-B5B4-4179-48690D16BB16}</x:author>
    <x:author>tc={5BE9B484-0360-968D-91F1-861C150914B2}</x:author>
    <x:author>tc={96E0BEC7-0D33-BE06-8EE9-5D6B60CF257A}</x:author>
    <x:author>tc={E852355A-2336-A911-7D77-ECB71298813A}</x:author>
    <x:author>tc={835820F5-A781-2D7F-27E0-A80A05FE5E46}</x:author>
    <x:author>tc={7C136617-7B8E-8752-7C07-B6C1A5389536}</x:author>
    <x:author>tc={2055A552-B9C6-DFAF-A8EB-74E0ECC73903}</x:author>
    <x:author>tc={6D6B1B55-DE43-3951-0068-F1EAE3E648A6}</x:author>
    <x:author>tc={F1750224-9B09-2473-0A92-B729232DAB26}</x:author>
    <x:author>tc={59277B99-A135-F867-A435-8A4681194AF4}</x:author>
    <x:author>tc={A4318362-2366-62CE-A682-D87902CA6375}</x:author>
    <x:author>tc={27CC0584-C727-4C81-AA5B-59A46DE6B852}</x:author>
    <x:author>tc={B70904D3-F86D-0109-B770-62E807A6AD00}</x:author>
  </x:authors>
  <x:commentList>
    <x:comment ref="P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fixed_monthly_eur. Lean budget host. Not an observed result.</x:t>
        </x:r>
      </x:text>
    </x:comment>
    <x:comment ref="P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fixed_monthly_eur. Growing operations. Not an observed result.</x:t>
        </x:r>
      </x:text>
    </x:comment>
    <x:comment ref="M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utilization. Full allowance use. Not an observed result.</x:t>
        </x:r>
      </x:text>
    </x:comment>
    <x:comment ref="M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utilization. All annual, full use. Not an observed result.</x:t>
        </x:r>
      </x:text>
    </x:comment>
    <x:comment ref="R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weekly_share. All annual, full use. Not an observed result.</x:t>
        </x:r>
      </x:text>
    </x:comment>
    <x:comment ref="S9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monthly_share. All annual, full use. Not an observed result.</x:t>
        </x:r>
      </x:text>
    </x:comment>
    <x:comment ref="M10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utilization. All Starter annual, full use. Not an observed result.</x:t>
        </x:r>
      </x:text>
    </x:comment>
    <x:comment ref="Q1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starter_share. All Starter annual, full use. Not an observed result.</x:t>
        </x:r>
      </x:text>
    </x:comment>
    <x:comment ref="R10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weekly_share. All Starter annual, full use. Not an observed result.</x:t>
        </x:r>
      </x:text>
    </x:comment>
    <x:comment ref="S10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monthly_share. All Starter annual, full use. Not an observed result.</x:t>
        </x:r>
      </x:text>
    </x:comment>
    <x:comment ref="B1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consumer_vat_rate. Exemption scenario. Not an observed result.</x:t>
        </x:r>
      </x:text>
    </x:comment>
    <x:comment ref="F1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tax_fee_rate. Exemption scenario. Not an observed result.</x:t>
        </x:r>
      </x:text>
    </x:comment>
    <x:comment ref="B12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consumer_vat_rate. Higher-tax stress. Not an observed result.</x:t>
        </x:r>
      </x:text>
    </x:comment>
    <x:comment ref="M12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utilization. Higher-tax stress. Not an observed result.</x:t>
        </x:r>
      </x:text>
    </x:comment>
    <x:comment ref="D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card_rate. High payment and service cost. Not an observed result.</x:t>
        </x:r>
      </x:text>
    </x:comment>
    <x:comment ref="I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fx_reserve_rate. High payment and service cost. Not an observed result.</x:t>
        </x:r>
      </x:text>
    </x:comment>
    <x:comment ref="M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utilization. High payment and service cost. Not an observed result.</x:t>
        </x:r>
      </x:text>
    </x:comment>
    <x:comment ref="N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starter_service_eur. High payment and service cost. Not an observed result.</x:t>
        </x:r>
      </x:text>
    </x:comment>
    <x:comment ref="O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pro_service_eur. High payment and service cost. Not an observed result.</x:t>
        </x:r>
      </x:text>
    </x:comment>
    <x:comment ref="P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fixed_monthly_eur. High payment and service cost. Not an observed result.</x:t>
        </x:r>
      </x:text>
    </x:comment>
    <x:comment ref="L14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credit_cost_eur. Uncontrolled compute stress. Not an observed result.</x:t>
        </x:r>
      </x:text>
    </x:comment>
    <x:comment ref="M14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utilization. Uncontrolled compute stress. Not an observed result.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;[Red](0.000000);&quot;-&quot;"/>
    <x:numFmt numFmtId="201" formatCode="0.0%;[Red](0.0%);&quot;-&quot;"/>
    <x:numFmt numFmtId="202" formatCode="€#,##0.00;[Red](€#,##0.00);&quot;-&quot;"/>
    <x:numFmt numFmtId="203" formatCode="#,##0;[Red](#,##0);&quot;-&quot;"/>
    <x:numFmt numFmtId="204" formatCode="#,##0.00;[Red](#,##0.00);&quot;-&quot;"/>
    <x:numFmt numFmtId="205" formatCode="0.0000;[Red](0.0000);&quot;-&quot;"/>
  </x:numFmts>
  <x:fonts count="9">
    <x:font>
      <x:sz val="11"/>
      <x:name val="Carlito"/>
    </x:font>
    <x:font>
      <x:sz val="10"/>
      <x:color rgb="FF000000"/>
      <x:name val="Aptos"/>
    </x:font>
    <x:font>
      <x:b/>
      <x:sz val="19"/>
      <x:color rgb="FFFFFFFF"/>
      <x:name val="Aptos"/>
    </x:font>
    <x:font>
      <x:sz val="10"/>
      <x:color rgb="FF17252B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b/>
      <x:sz val="10"/>
      <x:color rgb="FF17252B"/>
      <x:name val="Aptos"/>
    </x:font>
    <x:font>
      <x:b/>
      <x:sz val="24"/>
      <x:color rgb="FF0080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5323D"/>
      </x:patternFill>
    </x:fill>
    <x:fill>
      <x:patternFill patternType="solid">
        <x:fgColor rgb="FFEAF3F5"/>
      </x:patternFill>
    </x:fill>
    <x:fill>
      <x:patternFill patternType="solid">
        <x:fgColor rgb="FF0E7490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8E7"/>
      </x:patternFill>
    </x:fill>
  </x:fills>
  <x:borders count="2">
    <x:border/>
    <x:border/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5" borderId="0" xfId="0" applyNumberFormat="1" applyFont="1" applyFill="1" applyBorder="1"/>
    <x:xf numFmtId="200" fontId="5" fillId="5" borderId="1" xfId="0" applyNumberFormat="1" applyFont="1" applyFill="1" applyBorder="1"/>
    <x:xf numFmtId="201" fontId="5" fillId="5" borderId="0" xfId="0" applyNumberFormat="1" applyFont="1" applyFill="1" applyBorder="1"/>
    <x:xf numFmtId="201" fontId="5" fillId="5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204" fontId="5" fillId="5" borderId="0" xfId="0" applyNumberFormat="1" applyFont="1" applyFill="1" applyBorder="1"/>
    <x:xf numFmtId="204" fontId="5" fillId="5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3" fontId="1" fillId="0" borderId="0" xfId="0" applyNumberFormat="1" applyFont="1" applyFill="1" applyBorder="1"/>
    <x:xf numFmtId="203" fontId="6" fillId="0" borderId="0" xfId="0" applyNumberFormat="1" applyFont="1" applyFill="1" applyBorder="1"/>
    <x:xf numFmtId="203" fontId="1" fillId="0" borderId="1" xfId="0" applyNumberFormat="1" applyFont="1" applyFill="1" applyBorder="1"/>
    <x:xf numFmtId="203" fontId="6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5" fontId="6" fillId="0" borderId="0" xfId="0" applyNumberFormat="1" applyFont="1" applyFill="1" applyBorder="1"/>
    <x:xf numFmtId="205" fontId="1" fillId="0" borderId="0" xfId="0" applyNumberFormat="1" applyFont="1" applyFill="1" applyBorder="1"/>
    <x:xf numFmtId="205" fontId="6" fillId="0" borderId="1" xfId="0" applyNumberFormat="1" applyFont="1" applyFill="1" applyBorder="1"/>
    <x:xf numFmtId="205" fontId="1" fillId="0" borderId="1" xfId="0" applyNumberFormat="1" applyFont="1" applyFill="1" applyBorder="1"/>
    <x:xf numFmtId="205" fontId="6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205" fontId="1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203" fontId="8" fillId="0" borderId="0" xfId="0" applyNumberFormat="1" applyFont="1" applyFill="1" applyBorder="1"/>
    <x:xf numFmtId="203" fontId="8" fillId="0" borderId="1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2" fontId="8" fillId="3" borderId="0" xfId="0" applyNumberFormat="1" applyFont="1" applyFill="1" applyBorder="1"/>
    <x:xf numFmtId="202" fontId="1" fillId="3" borderId="0" xfId="0" applyNumberFormat="1" applyFont="1" applyFill="1" applyBorder="1"/>
    <x:xf numFmtId="203" fontId="8" fillId="3" borderId="0" xfId="0" applyNumberFormat="1" applyFont="1" applyFill="1" applyBorder="1"/>
    <x:xf numFmtId="203" fontId="1" fillId="3" borderId="0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202" fontId="8" fillId="3" borderId="1" xfId="0" applyNumberFormat="1" applyFont="1" applyFill="1" applyBorder="1"/>
    <x:xf numFmtId="202" fontId="1" fillId="3" borderId="1" xfId="0" applyNumberFormat="1" applyFont="1" applyFill="1" applyBorder="1"/>
    <x:xf numFmtId="203" fontId="8" fillId="3" borderId="1" xfId="0" applyNumberFormat="1" applyFont="1" applyFill="1" applyBorder="1"/>
    <x:xf numFmtId="203" fontId="1" fillId="3" borderId="1" xfId="0" applyNumberFormat="1" applyFont="1" applyFill="1" applyBorder="1"/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202" fontId="8" fillId="3" borderId="0" xfId="0" applyNumberFormat="1" applyFont="1" applyFill="1" applyBorder="1" applyAlignment="1">
      <x:alignment horizontal="center"/>
    </x:xf>
    <x:xf numFmtId="202" fontId="1" fillId="3" borderId="0" xfId="0" applyNumberFormat="1" applyFont="1" applyFill="1" applyBorder="1" applyAlignment="1">
      <x:alignment horizontal="center"/>
    </x:xf>
    <x:xf numFmtId="203" fontId="8" fillId="3" borderId="0" xfId="0" applyNumberFormat="1" applyFont="1" applyFill="1" applyBorder="1" applyAlignment="1">
      <x:alignment horizontal="center"/>
    </x:xf>
    <x:xf numFmtId="203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DC2626"/>
      </x:font>
    </x:dxf>
    <x:dxf>
      <x:font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fb4967ac54dc4" /><Relationship Type="http://schemas.openxmlformats.org/officeDocument/2006/relationships/theme" Target="/xl/theme/theme1.xml" Id="R3a8a00bd888b40b3" /><Relationship Type="http://schemas.openxmlformats.org/officeDocument/2006/relationships/sharedStrings" Target="/xl/sharedStrings.xml" Id="R16ca5128aa1545c2" /><Relationship Type="http://schemas.openxmlformats.org/officeDocument/2006/relationships/worksheet" Target="/xl/worksheets/sheet1.xml" Id="R1bce08049cc94617" /><Relationship Type="http://schemas.openxmlformats.org/officeDocument/2006/relationships/worksheet" Target="/xl/worksheets/sheet2.xml" Id="Re6d83dd854704778" /><Relationship Type="http://schemas.openxmlformats.org/officeDocument/2006/relationships/worksheet" Target="/xl/worksheets/sheet3.xml" Id="Reb4ca799e0294c7a" /><Relationship Type="http://schemas.openxmlformats.org/officeDocument/2006/relationships/worksheet" Target="/xl/worksheets/sheet4.xml" Id="Rf059950f0cd44b24" /><Relationship Type="http://schemas.openxmlformats.org/officeDocument/2006/relationships/worksheet" Target="/xl/worksheets/sheet5.xml" Id="R657440d027494a6c" /><Relationship Type="http://schemas.openxmlformats.org/officeDocument/2006/relationships/worksheet" Target="/xl/worksheets/sheet6.xml" Id="Red9ba09d0dc74461" /><Relationship Type="http://schemas.openxmlformats.org/officeDocument/2006/relationships/worksheet" Target="/xl/worksheets/sheet7.xml" Id="R6697db6bb61e458a" /><Relationship Type="http://schemas.microsoft.com/office/2017/10/relationships/person" Target="/xl/persons/person.xml" Id="R3debf02cad0743b0" /></Relationships>
</file>

<file path=xl/persons/person.xml><?xml version="1.0" encoding="utf-8"?>
<xltc:personList xmlns:xltc="http://schemas.microsoft.com/office/spreadsheetml/2018/threadedcomments">
  <xltc:person displayName="VibeScroller model sources" id="{7AF93903-1066-4057-834B-7BBB3C3C4DC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2" dT="2026-09-29T22:10:16.428" personId="{7AF93903-1066-4057-834B-7BBB3C3C4DC2}" id="{B506B7D2-A3A3-BBB6-887C-ECFCD6BA583B}">
    <xltc:text>Package review completed 2026-09-30. All 10 scenario outputs were reconciled against finance/calculate.py. Inputs remain assumptions where labeled.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09-29T22:06:58.381" personId="{7AF93903-1066-4057-834B-7BBB3C3C4DC2}" id="{2A5D70BA-4224-33F3-A405-4F27502143B3}">
    <xltc:text>Scenario input, not verified company tax status. See docs/SOURCES.md S34.</xltc:text>
  </xltc:threadedComment>
  <xltc:threadedComment ref="B5" dT="2026-09-29T22:07:05.78" personId="{7AF93903-1066-4057-834B-7BBB3C3C4DC2}" id="{B176EAE8-0E2E-8789-EE66-D4A00FE6E303}">
    <xltc:text>scenario. Source: docs/SOURCES.md#s34-eu-one-stop-shop
Illustrative consumer VAT. Also test exemption and 27 percent scenarios.
Reviewed 2026-09-29.</xltc:text>
  </xltc:threadedComment>
  <xltc:threadedComment ref="B6" dT="2026-09-29T22:07:05.792" personId="{7AF93903-1066-4057-834B-7BBB3C3C4DC2}" id="{F9E088D7-1830-E5C7-6C16-A8EBDA4F7888}">
    <xltc:text>assumption. Source: Owner planning model
Reduces net revenue. Original processing fees remain in costs.
Reviewed 2026-09-29.</xltc:text>
  </xltc:threadedComment>
  <xltc:threadedComment ref="B7" dT="2026-09-29T22:07:05.8" personId="{7AF93903-1066-4057-834B-7BBB3C3C4DC2}" id="{43A5B310-BB32-5938-0364-B0D7BEEC3A59}">
    <xltc:text>assumption. Source: https://stripe.com/ro/pricing
Blended estimate above 1.5 percent standard EEA rate; test higher-card-cost scenario.
Reviewed 2026-09-29.</xltc:text>
  </xltc:threadedComment>
  <xltc:threadedComment ref="B8" dT="2026-09-29T22:07:05.808" personId="{7AF93903-1066-4057-834B-7BBB3C3C4DC2}" id="{99791285-E979-0DE2-15B3-96F557857FF3}">
    <xltc:text>published. Source: https://stripe.com/en-ro/billing/pricing
Pay-as-you-go Billing; confirm account terms.
Reviewed 2026-09-29.</xltc:text>
  </xltc:threadedComment>
  <xltc:threadedComment ref="B9" dT="2026-09-29T22:07:05.821" personId="{7AF93903-1066-4057-834B-7BBB3C3C4DC2}" id="{A3EAD769-75DB-596C-C54D-904D19B99EA6}">
    <xltc:text>assumption. Source: https://stripe.com/tax/pricing
Conservative reserve for selected Tax integration, not filing service.
Reviewed 2026-09-29.</xltc:text>
  </xltc:threadedComment>
  <xltc:threadedComment ref="B10" dT="2026-09-29T22:07:05.825" personId="{7AF93903-1066-4057-834B-7BBB3C3C4DC2}" id="{BA6D352A-5FA3-69A0-E9FF-67F059301829}">
    <xltc:text>published. Source: https://stripe.com/ro/pricing
Standard price component; actual provider contract controls.
Reviewed 2026-09-29.</xltc:text>
  </xltc:threadedComment>
  <xltc:threadedComment ref="B11" dT="2026-09-29T22:07:05.836" personId="{7AF93903-1066-4057-834B-7BBB3C3C4DC2}" id="{C1CC5916-A05D-4E25-A09F-D098D089CABB}">
    <xltc:text>scenario. Source: Planning assumption, not a current FX quote
Editable conversion for fixed payment fees.
Reviewed 2026-09-29.</xltc:text>
  </xltc:threadedComment>
  <xltc:threadedComment ref="B12" dT="2026-09-29T22:07:05.846" personId="{7AF93903-1066-4057-834B-7BBB3C3C4DC2}" id="{64725D90-A08C-341C-C3AB-4A4E4EFF2AF2}">
    <xltc:text>assumption. Source: Planning assumption
Operational FX and payment-currency buffer. Not a quoted Stripe rate.
Reviewed 2026-09-29.</xltc:text>
  </xltc:threadedComment>
  <xltc:threadedComment ref="B13" dT="2026-09-29T22:07:05.855" personId="{7AF93903-1066-4057-834B-7BBB3C3C4DC2}" id="{4016A607-E5C2-EF6B-8781-0B451B9444B9}">
    <xltc:text>assumption. Source: Planning assumption
Revenue loss is included in refund assumption. This adds dispute handling fee exposure.
Reviewed 2026-09-29.</xltc:text>
  </xltc:threadedComment>
  <xltc:threadedComment ref="B14" dT="2026-09-29T22:07:05.86" personId="{7AF93903-1066-4057-834B-7BBB3C3C4DC2}" id="{878E4CEC-8A53-8F03-F35A-94E5CE18707F}">
    <xltc:text>assumption. Source: Planning reserve, verify merchant schedule
Not a provider quote.
Reviewed 2026-09-29.</xltc:text>
  </xltc:threadedComment>
  <xltc:threadedComment ref="B15" dT="2026-09-29T22:07:05.862" personId="{7AF93903-1066-4057-834B-7BBB3C3C4DC2}" id="{6BCCA060-8170-0217-F20E-8498B21554C9}">
    <xltc:text>design. Source: docs/BILLING-AND-TAX.md
Internal ceiling includes compute, model, tool, relevant tax, FX and retry exposure; do not add the same cost twice.
Reviewed 2026-09-29.</xltc:text>
  </xltc:threadedComment>
  <xltc:threadedComment ref="B16" dT="2026-09-29T22:07:05.872" personId="{7AF93903-1066-4057-834B-7BBB3C3C4DC2}" id="{13A60C2F-61CE-3DEA-3F96-EA2E51A65A33}">
    <xltc:text>assumption. Source: No production observations yet
Also calculate 100 percent consumption.
Reviewed 2026-09-29.</xltc:text>
  </xltc:threadedComment>
  <xltc:threadedComment ref="B17" dT="2026-09-29T22:07:05.877" personId="{7AF93903-1066-4057-834B-7BBB3C3C4DC2}" id="{14EB9D97-464E-7287-C36B-49D9049B658C}">
    <xltc:text>assumption. Source: Planning reserve
0.35 storage/backend/email/monitoring plus 0.20 support and invoice handling. Metered jobs excluded.
Reviewed 2026-09-29.</xltc:text>
  </xltc:threadedComment>
  <xltc:threadedComment ref="B18" dT="2026-09-29T22:07:05.885" personId="{7AF93903-1066-4057-834B-7BBB3C3C4DC2}" id="{33099E4D-4A45-E62B-2991-474838A17713}">
    <xltc:text>assumption. Source: Planning reserve
0.55 storage/backend/email/monitoring plus 0.40 support and invoice handling. Metered jobs excluded.
Reviewed 2026-09-29.</xltc:text>
  </xltc:threadedComment>
  <xltc:threadedComment ref="B19" dT="2026-09-29T22:07:05.89" personId="{7AF93903-1066-4057-834B-7BBB3C3C4DC2}" id="{6B7BD4B4-7E09-90F6-03E6-F637D808B539}">
    <xltc:text>scenario. Source: https://vercel.com/pricing
New paid host plus small overhead reserve. Test EUR 8 lean and EUR 80 growing-operations profiles.
Reviewed 2026-09-29.</xltc:text>
  </xltc:threadedComment>
  <xltc:threadedComment ref="B20" dT="2026-09-29T22:07:05.897" personId="{7AF93903-1066-4057-834B-7BBB3C3C4DC2}" id="{A36B3893-946C-273C-73F8-C76006F71A6F}">
    <xltc:text>assumption. Source: No production observations yet
Pro share is the remainder.
Reviewed 2026-09-29.</xltc:text>
  </xltc:threadedComment>
  <xltc:threadedComment ref="B21" dT="2026-09-29T22:07:05.908" personId="{7AF93903-1066-4057-834B-7BBB3C3C4DC2}" id="{3944595F-E3D6-14A0-8A64-47986FD1B465}">
    <xltc:text>assumption. Source: No production observations yet
Interval mix, not payment cash timing.
Reviewed 2026-09-29.</xltc:text>
  </xltc:threadedComment>
  <xltc:threadedComment ref="B22" dT="2026-09-29T22:07:05.917" personId="{7AF93903-1066-4057-834B-7BBB3C3C4DC2}" id="{4C995381-212A-EA1F-FF41-6EB263EEFBC6}">
    <xltc:text>assumption. Source: No production observations yet
Annual share is the remainder.
Reviewed 2026-09-29.</xltc:text>
  </xltc:threadedComment>
  <xltc:threadedComment ref="B23" dT="2026-09-29T22:07:05.922" personId="{7AF93903-1066-4057-834B-7BBB3C3C4DC2}" id="{DA8C5FB7-E0AF-CEBC-2232-9771FF9EBD61}">
    <xltc:text>owner_decision. Source: Owner instructions
Before company tax, excluding founder salary, marketing and development.
Reviewed 2026-09-29.</xltc:text>
  </xltc:threadedComment>
  <xltc:threadedComment ref="B24" dT="2026-09-29T22:07:05.935" personId="{7AF93903-1066-4057-834B-7BBB3C3C4DC2}" id="{7152BA32-A488-833E-D4FD-73AC0E83803D}">
    <xltc:text>assumption. Source: Planning normalization
For monthly equivalents only; actual weekly periods are seven days.
Reviewed 2026-09-29.</xltc:text>
  </xltc:threadedComment>
  <xltc:threadedComment ref="B25" dT="2026-09-29T22:07:05.939" personId="{7AF93903-1066-4057-834B-7BBB3C3C4DC2}" id="{C652D7C1-F320-DD2E-D7E2-B49BFF24AF82}">
    <xltc:text>design. Source: Product catalogue
Stripe week interval.
Reviewed 2026-09-29.</xltc:text>
  </xltc:threadedComment>
  <xltc:threadedComment ref="B26" dT="2026-09-29T22:07:05.942" personId="{7AF93903-1066-4057-834B-7BBB3C3C4DC2}" id="{9EA63248-F21B-B00F-C46E-3E994F1BD077}">
    <xltc:text>design. Source: Product catalogue
Annual revenue recognized over twelve months.
Reviewed 2026-09-29.</xltc:text>
  </xltc:threadedComment>
  <xltc:threadedComment ref="B27" dT="2026-09-29T22:07:05.95" personId="{7AF93903-1066-4057-834B-7BBB3C3C4DC2}" id="{8E63153C-D87B-4CEC-A9BF-976B63387D87}">
    <xltc:text>scenario. Source: Planning assumption, not current FX quote
Only used in example provider-cost calculations.
Reviewed 2026-09-29.</xltc:text>
  </xltc:threadedComment>
  <xltc:threadedComment ref="B28" dT="2026-09-29T22:07:05.957" personId="{7AF93903-1066-4057-834B-7BBB3C3C4DC2}" id="{C1C3CC84-FDDD-2D3F-1565-068DBF07B13A}">
    <xltc:text>scenario. Source: Conservative unrecoverable-input-tax scenario
Only provider example. Included-credit ceiling already includes applicable supplier tax.
Reviewed 2026-09-29.</xltc:text>
  </xltc:threadedComment>
  <xltc:threadedComment ref="B29" dT="2026-09-29T22:07:05.965" personId="{7AF93903-1066-4057-834B-7BBB3C3C4DC2}" id="{EBB5709F-032F-4809-A3F5-FB9C194DD23B}">
    <xltc:text>assumption. Source: Planning contingency
Example quote buffer, not measured retries.
Reviewed 2026-09-29.</xltc:text>
  </xltc:threadedComment>
  <xltc:threadedComment ref="B30" dT="2026-09-29T22:07:05.968" personId="{7AF93903-1066-4057-834B-7BBB3C3C4DC2}" id="{F95DCF54-955C-8F04-FCBE-090126FA98FF}">
    <xltc:text>published_estimate. Source: https://developers.openai.com/api/docs/pricing
gpt-4o-mini-transcribe estimate.
Reviewed 2026-09-29.</xltc:text>
  </xltc:threadedComment>
  <xltc:threadedComment ref="B31" dT="2026-09-29T22:07:05.971" personId="{7AF93903-1066-4057-834B-7BBB3C3C4DC2}" id="{C5C46441-EF3F-EDE2-8461-919DEE354A4B}">
    <xltc:text>published. Source: https://developers.openai.com/api/docs/models/gpt-5.4-mini
Standard candidate price at review.
Reviewed 2026-09-29.</xltc:text>
  </xltc:threadedComment>
  <xltc:threadedComment ref="B32" dT="2026-09-29T22:07:05.974" personId="{7AF93903-1066-4057-834B-7BBB3C3C4DC2}" id="{C7BAAFB0-357E-0582-B580-6A9898439EC4}">
    <xltc:text>published. Source: https://developers.openai.com/api/docs/models/gpt-5.4-mini
Include billed reasoning tokens where applicable.
Reviewed 2026-09-29.</xltc:text>
  </xltc:threadedComment>
  <xltc:threadedComment ref="B33" dT="2026-09-29T22:07:05.977" personId="{7AF93903-1066-4057-834B-7BBB3C3C4DC2}" id="{79ED5698-8A1F-F5AA-0523-0CCDB5C2F01F}">
    <xltc:text>published. Source: https://e2b.dev/pricing
Base resource price, verify current invoice.
Reviewed 2026-09-29.</xltc:text>
  </xltc:threadedComment>
  <xltc:threadedComment ref="B34" dT="2026-09-29T22:07:05.982" personId="{7AF93903-1066-4057-834B-7BBB3C3C4DC2}" id="{A085E861-B7E6-7C9E-63CD-2F68434DA881}">
    <xltc:text>published. Source: https://e2b.dev/pricing
Additional disk, minimum billing or network charges must be added if applicable.
Reviewed 2026-09-29.</xltc:text>
  </xltc:threadedComment>
  <xltc:threadedComment ref="B35" dT="2026-09-29T22:07:05.988" personId="{7AF93903-1066-4057-834B-7BBB3C3C4DC2}" id="{9EBD5F67-B7DF-6680-26FE-680FFFA7C9DC}">
    <xltc:text>example. Source: Owner workload example
Illustrative short video, not measured median.
Reviewed 2026-09-29.</xltc:text>
  </xltc:threadedComment>
  <xltc:threadedComment ref="B36" dT="2026-09-29T22:07:05.993" personId="{7AF93903-1066-4057-834B-7BBB3C3C4DC2}" id="{7337382C-57C0-A30A-D000-3621AFADA4D0}">
    <xltc:text>assumption. Source: Unbenchmarked request budget
Actual image tokenization and provider usage replace this estimate.
Reviewed 2026-09-29.</xltc:text>
  </xltc:threadedComment>
  <xltc:threadedComment ref="B37" dT="2026-09-29T22:07:06.001" personId="{7AF93903-1066-4057-834B-7BBB3C3C4DC2}" id="{90845953-D7C5-DB57-89B0-4FC58CA13132}">
    <xltc:text>assumption. Source: Unbenchmarked request budget
Source understanding only, excludes project planning and coding.
Reviewed 2026-09-29.</xltc:text>
  </xltc:threadedComment>
  <xltc:threadedComment ref="B38" dT="2026-09-29T22:07:06.006" personId="{7AF93903-1066-4057-834B-7BBB3C3C4DC2}" id="{442D5F8D-6C2F-9ACA-0577-58FFBBC51665}">
    <xltc:text>assumption. Source: Unbenchmarked media preparation
Default example 2 vCPU and 1 GiB.
Reviewed 2026-09-29.</xltc:text>
  </xltc:threadedComment>
  <xltc:threadedComment ref="B39" dT="2026-09-29T22:07:06.009" personId="{7AF93903-1066-4057-834B-7BBB3C3C4DC2}" id="{AFE9D004-1D8A-C811-F0A9-C23319D12F3F}">
    <xltc:text>design. Source: Cloud worker initial default
Resource quote can change per authorized task.
Reviewed 2026-09-29.</xltc:text>
  </xltc:threadedComment>
  <xltc:threadedComment ref="B40" dT="2026-09-29T22:07:06.015" personId="{7AF93903-1066-4057-834B-7BBB3C3C4DC2}" id="{DB07BFBA-FD0B-4580-35F8-CF8605423B3D}">
    <xltc:text>design. Source: Cloud worker initial default
Large builds require a new quote.
Reviewed 2026-09-29.</xltc:text>
  </xltc:threadedComment>
  <xltc:threadedComment ref="B41" dT="2026-09-29T22:07:06.021" personId="{7AF93903-1066-4057-834B-7BBB3C3C4DC2}" id="{1CE3F3E8-8EF5-304B-187D-20DDE8A1D5D6}">
    <xltc:text>assumption. Source: Network, storage, and minimum-billing reserve
Example only. Actual cost ledger replaces this input.
Reviewed 2026-09-29.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5" dT="2026-09-29T22:07:06.099" personId="{7AF93903-1066-4057-834B-7BBB3C3C4DC2}" id="{434EFC2F-8465-DBDE-9F83-CF4BC3750EF4}">
    <xltc:text>Proposed VibeScroller catalogue. Design input, not observed demand or a live Stripe price. See docs/BILLING-AND-TAX.md.</xltc:text>
  </xltc:threadedComment>
  <xltc:threadedComment ref="C5" dT="2026-09-29T22:07:06.103" personId="{7AF93903-1066-4057-834B-7BBB3C3C4DC2}" id="{F1069725-9E39-8FC9-2B2C-281A6B47C00A}">
    <xltc:text>Proposed VibeScroller catalogue. Design input, not observed demand or a live Stripe price. See docs/BILLING-AND-TAX.md.</xltc:text>
  </xltc:threadedComment>
  <xltc:threadedComment ref="D5" dT="2026-09-29T22:07:06.105" personId="{7AF93903-1066-4057-834B-7BBB3C3C4DC2}" id="{511B3D87-BBF0-9F93-A5CF-DACD345ABA81}">
    <xltc:text>Proposed VibeScroller catalogue. Design input, not observed demand or a live Stripe price. See docs/BILLING-AND-TAX.md.</xltc:text>
  </xltc:threadedComment>
  <xltc:threadedComment ref="E5" dT="2026-09-29T22:07:06.109" personId="{7AF93903-1066-4057-834B-7BBB3C3C4DC2}" id="{B3153FED-3579-0A4A-B395-CD2352F38930}">
    <xltc:text>Proposed VibeScroller catalogue. Design input, not observed demand or a live Stripe price. See docs/BILLING-AND-TAX.md.</xltc:text>
  </xltc:threadedComment>
  <xltc:threadedComment ref="F5" dT="2026-09-29T22:07:06.113" personId="{7AF93903-1066-4057-834B-7BBB3C3C4DC2}" id="{9E98CC1E-26A2-334B-3A58-2D133FBBA7E8}">
    <xltc:text>Proposed VibeScroller catalogue. Design input, not observed demand or a live Stripe price. See docs/BILLING-AND-TAX.md.</xltc:text>
  </xltc:threadedComment>
  <xltc:threadedComment ref="B6" dT="2026-09-29T22:07:06.122" personId="{7AF93903-1066-4057-834B-7BBB3C3C4DC2}" id="{775C4602-9305-1232-2250-8CCD2888978E}">
    <xltc:text>Proposed VibeScroller catalogue. Design input, not observed demand or a live Stripe price. See docs/BILLING-AND-TAX.md.</xltc:text>
  </xltc:threadedComment>
  <xltc:threadedComment ref="C6" dT="2026-09-29T22:07:06.125" personId="{7AF93903-1066-4057-834B-7BBB3C3C4DC2}" id="{0B78CB53-5F5E-B573-4C5E-EAC588DB0359}">
    <xltc:text>Proposed VibeScroller catalogue. Design input, not observed demand or a live Stripe price. See docs/BILLING-AND-TAX.md.</xltc:text>
  </xltc:threadedComment>
  <xltc:threadedComment ref="D6" dT="2026-09-29T22:07:06.129" personId="{7AF93903-1066-4057-834B-7BBB3C3C4DC2}" id="{F1A6590F-0ED5-7F19-3178-44C727BA6314}">
    <xltc:text>Proposed VibeScroller catalogue. Design input, not observed demand or a live Stripe price. See docs/BILLING-AND-TAX.md.</xltc:text>
  </xltc:threadedComment>
  <xltc:threadedComment ref="E6" dT="2026-09-29T22:07:06.131" personId="{7AF93903-1066-4057-834B-7BBB3C3C4DC2}" id="{1FC0535A-9052-6525-76A1-B7C451C4E985}">
    <xltc:text>Proposed VibeScroller catalogue. Design input, not observed demand or a live Stripe price. See docs/BILLING-AND-TAX.md.</xltc:text>
  </xltc:threadedComment>
  <xltc:threadedComment ref="F6" dT="2026-09-29T22:07:06.134" personId="{7AF93903-1066-4057-834B-7BBB3C3C4DC2}" id="{6B45158E-2A8C-EEC2-A783-3B17925DAFDF}">
    <xltc:text>Proposed VibeScroller catalogue. Design input, not observed demand or a live Stripe price. See docs/BILLING-AND-TAX.md.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P6" dT="2026-09-29T22:07:06.463" personId="{7AF93903-1066-4057-834B-7BBB3C3C4DC2}" id="{EA8A8CD1-B892-A880-07AB-3A8796770BBE}">
    <xltc:text>Planning stress override: fixed_monthly_eur. Lean budget host. Not an observed result.</xltc:text>
  </xltc:threadedComment>
  <xltc:threadedComment ref="P7" dT="2026-09-29T22:07:06.631" personId="{7AF93903-1066-4057-834B-7BBB3C3C4DC2}" id="{061321F5-21D5-E44B-9CDF-668CD0C7A521}">
    <xltc:text>Planning stress override: fixed_monthly_eur. Growing operations. Not an observed result.</xltc:text>
  </xltc:threadedComment>
  <xltc:threadedComment ref="M8" dT="2026-09-29T22:07:06.762" personId="{7AF93903-1066-4057-834B-7BBB3C3C4DC2}" id="{41C8D2BB-A816-237B-93A0-70F8DAB22734}">
    <xltc:text>Planning stress override: utilization. Full allowance use. Not an observed result.</xltc:text>
  </xltc:threadedComment>
  <xltc:threadedComment ref="M9" dT="2026-09-29T22:07:06.911" personId="{7AF93903-1066-4057-834B-7BBB3C3C4DC2}" id="{A0BBF21E-9D05-DE8F-C647-5A11DA7D92EC}">
    <xltc:text>Planning stress override: utilization. All annual, full use. Not an observed result.</xltc:text>
  </xltc:threadedComment>
  <xltc:threadedComment ref="R9" dT="2026-09-29T22:07:06.944" personId="{7AF93903-1066-4057-834B-7BBB3C3C4DC2}" id="{010B8A62-8B6B-B8CB-0F16-5C42CD56BEB7}">
    <xltc:text>Planning stress override: weekly_share. All annual, full use. Not an observed result.</xltc:text>
  </xltc:threadedComment>
  <xltc:threadedComment ref="S9" dT="2026-09-29T22:07:06.955" personId="{7AF93903-1066-4057-834B-7BBB3C3C4DC2}" id="{9142B4AB-776C-BE4B-7A17-F784ACE88981}">
    <xltc:text>Planning stress override: monthly_share. All annual, full use. Not an observed result.</xltc:text>
  </xltc:threadedComment>
  <xltc:threadedComment ref="M10" dT="2026-09-29T22:07:07.085" personId="{7AF93903-1066-4057-834B-7BBB3C3C4DC2}" id="{42DA3D66-3856-E597-6774-9923314CF8E6}">
    <xltc:text>Planning stress override: utilization. All Starter annual, full use. Not an observed result.</xltc:text>
  </xltc:threadedComment>
  <xltc:threadedComment ref="Q10" dT="2026-09-29T22:07:07.115" personId="{7AF93903-1066-4057-834B-7BBB3C3C4DC2}" id="{724DB911-8612-DF9B-6215-BE15213081B7}">
    <xltc:text>Planning stress override: starter_share. All Starter annual, full use. Not an observed result.</xltc:text>
  </xltc:threadedComment>
  <xltc:threadedComment ref="R10" dT="2026-09-29T22:07:07.123" personId="{7AF93903-1066-4057-834B-7BBB3C3C4DC2}" id="{3E293BF3-9303-F378-F52C-6B810618C914}">
    <xltc:text>Planning stress override: weekly_share. All Starter annual, full use. Not an observed result.</xltc:text>
  </xltc:threadedComment>
  <xltc:threadedComment ref="S10" dT="2026-09-29T22:07:07.133" personId="{7AF93903-1066-4057-834B-7BBB3C3C4DC2}" id="{63628F6D-08D0-B5B4-4179-48690D16BB16}">
    <xltc:text>Planning stress override: monthly_share. All Starter annual, full use. Not an observed result.</xltc:text>
  </xltc:threadedComment>
  <xltc:threadedComment ref="B11" dT="2026-09-29T22:07:07.168" personId="{7AF93903-1066-4057-834B-7BBB3C3C4DC2}" id="{5BE9B484-0360-968D-91F1-861C150914B2}">
    <xltc:text>Planning stress override: consumer_vat_rate. Exemption scenario. Not an observed result.</xltc:text>
  </xltc:threadedComment>
  <xltc:threadedComment ref="F11" dT="2026-09-29T22:07:07.198" personId="{7AF93903-1066-4057-834B-7BBB3C3C4DC2}" id="{96E0BEC7-0D33-BE06-8EE9-5D6B60CF257A}">
    <xltc:text>Planning stress override: tax_fee_rate. Exemption scenario. Not an observed result.</xltc:text>
  </xltc:threadedComment>
  <xltc:threadedComment ref="B12" dT="2026-09-29T22:07:07.319" personId="{7AF93903-1066-4057-834B-7BBB3C3C4DC2}" id="{E852355A-2336-A911-7D77-ECB71298813A}">
    <xltc:text>Planning stress override: consumer_vat_rate. Higher-tax stress. Not an observed result.</xltc:text>
  </xltc:threadedComment>
  <xltc:threadedComment ref="M12" dT="2026-09-29T22:07:07.389" personId="{7AF93903-1066-4057-834B-7BBB3C3C4DC2}" id="{835820F5-A781-2D7F-27E0-A80A05FE5E46}">
    <xltc:text>Planning stress override: utilization. Higher-tax stress. Not an observed result.</xltc:text>
  </xltc:threadedComment>
  <xltc:threadedComment ref="D13" dT="2026-09-29T22:07:07.48" personId="{7AF93903-1066-4057-834B-7BBB3C3C4DC2}" id="{7C136617-7B8E-8752-7C07-B6C1A5389536}">
    <xltc:text>Planning stress override: card_rate. High payment and service cost. Not an observed result.</xltc:text>
  </xltc:threadedComment>
  <xltc:threadedComment ref="I13" dT="2026-09-29T22:07:07.513" personId="{7AF93903-1066-4057-834B-7BBB3C3C4DC2}" id="{2055A552-B9C6-DFAF-A8EB-74E0ECC73903}">
    <xltc:text>Planning stress override: fx_reserve_rate. High payment and service cost. Not an observed result.</xltc:text>
  </xltc:threadedComment>
  <xltc:threadedComment ref="M13" dT="2026-09-29T22:07:07.541" personId="{7AF93903-1066-4057-834B-7BBB3C3C4DC2}" id="{6D6B1B55-DE43-3951-0068-F1EAE3E648A6}">
    <xltc:text>Planning stress override: utilization. High payment and service cost. Not an observed result.</xltc:text>
  </xltc:threadedComment>
  <xltc:threadedComment ref="N13" dT="2026-09-29T22:07:07.551" personId="{7AF93903-1066-4057-834B-7BBB3C3C4DC2}" id="{F1750224-9B09-2473-0A92-B729232DAB26}">
    <xltc:text>Planning stress override: starter_service_eur. High payment and service cost. Not an observed result.</xltc:text>
  </xltc:threadedComment>
  <xltc:threadedComment ref="O13" dT="2026-09-29T22:07:07.558" personId="{7AF93903-1066-4057-834B-7BBB3C3C4DC2}" id="{59277B99-A135-F867-A435-8A4681194AF4}">
    <xltc:text>Planning stress override: pro_service_eur. High payment and service cost. Not an observed result.</xltc:text>
  </xltc:threadedComment>
  <xltc:threadedComment ref="P13" dT="2026-09-29T22:07:07.567" personId="{7AF93903-1066-4057-834B-7BBB3C3C4DC2}" id="{A4318362-2366-62CE-A682-D87902CA6375}">
    <xltc:text>Planning stress override: fixed_monthly_eur. High payment and service cost. Not an observed result.</xltc:text>
  </xltc:threadedComment>
  <xltc:threadedComment ref="L14" dT="2026-09-29T22:07:07.68" personId="{7AF93903-1066-4057-834B-7BBB3C3C4DC2}" id="{27CC0584-C727-4C81-AA5B-59A46DE6B852}">
    <xltc:text>Planning stress override: credit_cost_eur. Uncontrolled compute stress. Not an observed result.</xltc:text>
  </xltc:threadedComment>
  <xltc:threadedComment ref="M14" dT="2026-09-29T22:07:07.688" personId="{7AF93903-1066-4057-834B-7BBB3C3C4DC2}" id="{B70904D3-F86D-0109-B770-62E807A6AD00}">
    <xltc:text>Planning stress override: utilization. Uncontrolled compute stress. Not an observed result.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2238e13b12b45aa" /><Relationship Type="http://schemas.openxmlformats.org/officeDocument/2006/relationships/vmlDrawing" Target="/xl/drawings/vmldrawing.vml" Id="Rc504345a0555427c" /><Relationship Type="http://schemas.microsoft.com/office/2017/10/relationships/threadedComment" Target="/xl/threadedcomments/threadedcomment.xml" Id="Ra82ba902ff134d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c693d8c99f714529" /><Relationship Type="http://schemas.openxmlformats.org/officeDocument/2006/relationships/vmlDrawing" Target="/xl/drawings/vmldrawing2.vml" Id="R4861383deab94f99" /><Relationship Type="http://schemas.microsoft.com/office/2017/10/relationships/threadedComment" Target="/xl/threadedcomments/threadedcomment2.xml" Id="Rbb3c458fdb7c4d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dd75778f9de14529" /><Relationship Type="http://schemas.openxmlformats.org/officeDocument/2006/relationships/vmlDrawing" Target="/xl/drawings/vmldrawing3.vml" Id="R00e981e177be440d" /><Relationship Type="http://schemas.microsoft.com/office/2017/10/relationships/threadedComment" Target="/xl/threadedcomments/threadedcomment3.xml" Id="R507d525c932f49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c74a87e79eb14cbc" /><Relationship Type="http://schemas.openxmlformats.org/officeDocument/2006/relationships/vmlDrawing" Target="/xl/drawings/vmldrawing4.vml" Id="R5c7fa32ee9b1469d" /><Relationship Type="http://schemas.microsoft.com/office/2017/10/relationships/threadedComment" Target="/xl/threadedcomments/threadedcomment4.xml" Id="Rb4fb235156394fe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VibeScroller · operating model</x:v>
      </x:c>
      <x:c r="B1" s="5"/>
      <x:c r="C1" s="5"/>
      <x:c r="D1" s="5"/>
      <x:c r="E1" s="5"/>
      <x:c r="F1" s="5"/>
      <x:c r="G1" s="5"/>
      <x:c r="H1" s="5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Planning model · 30 September 2026 · EUR · All figures are estimates. Edit assumptions before making spending commitments.</x:v>
      </x:c>
      <x:c r="B2" s="10"/>
      <x:c r="C2" s="10"/>
      <x:c r="D2" s="10"/>
      <x:c r="E2" s="10"/>
      <x:c r="F2" s="10"/>
      <x:c r="G2" s="10"/>
      <x:c r="H2" s="10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BASE CASE · MIXED PLANS AND BILLING INTERVALS</x:v>
      </x:c>
      <x:c r="B4" s="16"/>
      <x:c r="C4" s="16"/>
      <x:c r="D4" s="16"/>
      <x:c r="E4" s="16"/>
      <x:c r="F4" s="16"/>
      <x:c r="G4" s="16"/>
      <x:c r="H4" s="16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34" customHeight="1">
      <x:c r="A6" s="86" t="str">
        <x:v>Net revenue / user-month</x:v>
      </x:c>
      <x:c r="B6" s="8"/>
      <x:c r="C6" s="86" t="str">
        <x:v>Variable cost / user-month</x:v>
      </x:c>
      <x:c r="D6" s="8"/>
      <x:c r="E6" s="86" t="str">
        <x:v>Operating break-even users</x:v>
      </x:c>
      <x:c r="F6" s="8"/>
      <x:c r="G6" s="86" t="str">
        <x:v>Users for 60% margin</x:v>
      </x:c>
      <x:c r="H6" s="8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20" customHeight="1">
      <x:c r="A7" s="108" t="n">
        <x:f>'Scenarios'!C5</x:f>
        <x:v>20.650912362258953</x:v>
      </x:c>
      <x:c r="B7" s="109"/>
      <x:c r="C7" s="108" t="n">
        <x:f>'Scenarios'!L5</x:f>
        <x:v>4.0172342187500005</x:v>
      </x:c>
      <x:c r="D7" s="109"/>
      <x:c r="E7" s="110" t="n">
        <x:f>'Scenarios'!O5</x:f>
        <x:v>2</x:v>
      </x:c>
      <x:c r="F7" s="111"/>
      <x:c r="G7" s="110" t="n">
        <x:f>'Scenarios'!P5</x:f>
        <x:v>8</x:v>
      </x:c>
      <x:c r="H7" s="111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20" customHeight="1">
      <x:c r="A8" s="109"/>
      <x:c r="B8" s="109"/>
      <x:c r="C8" s="109"/>
      <x:c r="D8" s="109"/>
      <x:c r="E8" s="111"/>
      <x:c r="F8" s="111"/>
      <x:c r="G8" s="111"/>
      <x:c r="H8" s="111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34" customHeight="1">
      <x:c r="A10" s="16" t="str">
        <x:v>Users</x:v>
      </x:c>
      <x:c r="B10" s="16" t="str">
        <x:v>Net revenue</x:v>
      </x:c>
      <x:c r="C10" s="16" t="str">
        <x:v>Total costs</x:v>
      </x:c>
      <x:c r="D10" s="16" t="str">
        <x:v>Profit</x:v>
      </x:c>
      <x:c r="E10" s="16" t="str">
        <x:v>Margin</x:v>
      </x:c>
      <x:c r="F10" s="16" t="str"/>
      <x:c r="G10" s="16" t="str"/>
      <x:c r="H10" s="16" t="str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20" customHeight="1">
      <x:c r="A11" s="40" t="n">
        <x:f>'Volume'!A8</x:f>
        <x:v>10</x:v>
      </x:c>
      <x:c r="B11" s="44" t="n">
        <x:f>'Volume'!B8</x:f>
        <x:v>206.50912362258953</x:v>
      </x:c>
      <x:c r="C11" s="44" t="n">
        <x:f>'Volume'!C8+'Volume'!D8</x:f>
        <x:v>70.1723421875</x:v>
      </x:c>
      <x:c r="D11" s="44" t="n">
        <x:f>'Volume'!E8</x:f>
        <x:v>136.3367814350895</x:v>
      </x:c>
      <x:c r="E11" s="48" t="n">
        <x:f>'Volume'!F8</x:f>
        <x:v>0.6601973755128364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20" customHeight="1">
      <x:c r="A12" s="40" t="n">
        <x:f>'Volume'!A9</x:f>
        <x:v>25</x:v>
      </x:c>
      <x:c r="B12" s="44" t="n">
        <x:f>'Volume'!B9</x:f>
        <x:v>516.2728090564739</x:v>
      </x:c>
      <x:c r="C12" s="44" t="n">
        <x:f>'Volume'!C9+'Volume'!D9</x:f>
        <x:v>130.43085546875</x:v>
      </x:c>
      <x:c r="D12" s="44" t="n">
        <x:f>'Volume'!E9</x:f>
        <x:v>385.8419535877239</x:v>
      </x:c>
      <x:c r="E12" s="48" t="n">
        <x:f>'Volume'!F9</x:f>
        <x:v>0.7473605946686949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20" customHeight="1">
      <x:c r="A13" s="40" t="n">
        <x:f>'Volume'!A10</x:f>
        <x:v>50</x:v>
      </x:c>
      <x:c r="B13" s="44" t="n">
        <x:f>'Volume'!B10</x:f>
        <x:v>1032.5456181129477</x:v>
      </x:c>
      <x:c r="C13" s="44" t="n">
        <x:f>'Volume'!C10+'Volume'!D10</x:f>
        <x:v>230.86171093750002</x:v>
      </x:c>
      <x:c r="D13" s="44" t="n">
        <x:f>'Volume'!E10</x:f>
        <x:v>801.6839071754478</x:v>
      </x:c>
      <x:c r="E13" s="48" t="n">
        <x:f>'Volume'!F10</x:f>
        <x:v>0.776415001053981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20" customHeight="1">
      <x:c r="A14" s="40" t="n">
        <x:f>'Volume'!A11</x:f>
        <x:v>100</x:v>
      </x:c>
      <x:c r="B14" s="44" t="n">
        <x:f>'Volume'!B11</x:f>
        <x:v>2065.0912362258955</x:v>
      </x:c>
      <x:c r="C14" s="44" t="n">
        <x:f>'Volume'!C11+'Volume'!D11</x:f>
        <x:v>431.72342187500004</x:v>
      </x:c>
      <x:c r="D14" s="44" t="n">
        <x:f>'Volume'!E11</x:f>
        <x:v>1633.3678143508955</x:v>
      </x:c>
      <x:c r="E14" s="48" t="n">
        <x:f>'Volume'!F11</x:f>
        <x:v>0.790942204246624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20" customHeight="1">
      <x:c r="A15" s="40" t="n">
        <x:f>'Volume'!A12</x:f>
        <x:v>250</x:v>
      </x:c>
      <x:c r="B15" s="44" t="n">
        <x:f>'Volume'!B12</x:f>
        <x:v>5162.7280905647385</x:v>
      </x:c>
      <x:c r="C15" s="44" t="n">
        <x:f>'Volume'!C12+'Volume'!D12</x:f>
        <x:v>1034.3085546875</x:v>
      </x:c>
      <x:c r="D15" s="44" t="n">
        <x:f>'Volume'!E12</x:f>
        <x:v>4128.419535877239</x:v>
      </x:c>
      <x:c r="E15" s="48" t="n">
        <x:f>'Volume'!F12</x:f>
        <x:v>0.7996585261622098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20" customHeight="1">
      <x:c r="A16" s="40" t="n">
        <x:f>'Volume'!A13</x:f>
        <x:v>500</x:v>
      </x:c>
      <x:c r="B16" s="44" t="n">
        <x:f>'Volume'!B13</x:f>
        <x:v>10325.456181129477</x:v>
      </x:c>
      <x:c r="C16" s="44" t="n">
        <x:f>'Volume'!C13+'Volume'!D13</x:f>
        <x:v>2038.6171093750002</x:v>
      </x:c>
      <x:c r="D16" s="44" t="n">
        <x:f>'Volume'!E13</x:f>
        <x:v>8286.839071754477</x:v>
      </x:c>
      <x:c r="E16" s="48" t="n">
        <x:f>'Volume'!F13</x:f>
        <x:v>0.8025639668007385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34" customHeight="1">
      <x:c r="A18" s="16" t="str">
        <x:v>READ THIS BEFORE USING THE FORECAST</x:v>
      </x:c>
      <x:c r="B18" s="16"/>
      <x:c r="C18" s="16"/>
      <x:c r="D18" s="16"/>
      <x:c r="E18" s="16"/>
      <x:c r="F18" s="16"/>
      <x:c r="G18" s="16"/>
      <x:c r="H18" s="16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34" customHeight="1">
      <x:c r="A20" s="98" t="str">
        <x:v>60% is an operating-margin target before company tax. Founder salary, marketing, and development are excluded.</x:v>
      </x:c>
      <x:c r="B20" s="98"/>
      <x:c r="C20" s="98"/>
      <x:c r="D20" s="98"/>
      <x:c r="E20" s="98"/>
      <x:c r="F20" s="98"/>
      <x:c r="G20" s="98"/>
      <x:c r="H20" s="98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34" customHeight="1">
      <x:c r="A21" s="98" t="str">
        <x:v>Base fixed cost is EUR 30/month. The EUR 8 budget profile does not include a new commercial Vercel plan.</x:v>
      </x:c>
      <x:c r="B21" s="98"/>
      <x:c r="C21" s="98"/>
      <x:c r="D21" s="98"/>
      <x:c r="E21" s="98"/>
      <x:c r="F21" s="98"/>
      <x:c r="G21" s="98"/>
      <x:c r="H21" s="98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34" customHeight="1">
      <x:c r="A22" s="104" t="str">
        <x:v>Tax status and FX are scenario inputs. This workbook does not establish the company's VAT registration.</x:v>
      </x:c>
      <x:c r="B22" s="104"/>
      <x:c r="C22" s="104"/>
      <x:c r="D22" s="104"/>
      <x:c r="E22" s="104"/>
      <x:c r="F22" s="104"/>
      <x:c r="G22" s="104"/>
      <x:c r="H22" s="104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34" customHeight="1">
      <x:c r="A23" s="98" t="str">
        <x:v>Annual receipts are recognized monthly. Full allowance use and high-cost stress cases are on Scenarios.</x:v>
      </x:c>
      <x:c r="B23" s="98"/>
      <x:c r="C23" s="98"/>
      <x:c r="D23" s="98"/>
      <x:c r="E23" s="98"/>
      <x:c r="F23" s="98"/>
      <x:c r="G23" s="98"/>
      <x:c r="H23" s="98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34" customHeight="1">
      <x:c r="A24" s="98" t="str">
        <x:v>Provider costs, support, invoice handling, and refunds need calibration against real bills. No shared-cache savings are assumed.</x:v>
      </x:c>
      <x:c r="B24" s="98"/>
      <x:c r="C24" s="98"/>
      <x:c r="D24" s="98"/>
      <x:c r="E24" s="98"/>
      <x:c r="F24" s="98"/>
      <x:c r="G24" s="98"/>
      <x:c r="H24" s="98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34" customHeight="1">
      <x:c r="A25" s="98" t="str">
        <x:v>A higher customer count cannot repair the uncontrolled-compute scenario. No unlimited cloud coding is included.</x:v>
      </x:c>
      <x:c r="B25" s="98"/>
      <x:c r="C25" s="98"/>
      <x:c r="D25" s="98"/>
      <x:c r="E25" s="98"/>
      <x:c r="F25" s="98"/>
      <x:c r="G25" s="98"/>
      <x:c r="H25" s="98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H1"/>
    <x:mergeCell ref="A2:H2"/>
    <x:mergeCell ref="A4:H4"/>
    <x:mergeCell ref="A6:B6"/>
    <x:mergeCell ref="C6:D6"/>
    <x:mergeCell ref="E6:F6"/>
    <x:mergeCell ref="G6:H6"/>
    <x:mergeCell ref="A7:B8"/>
    <x:mergeCell ref="C7:D8"/>
    <x:mergeCell ref="E7:F8"/>
    <x:mergeCell ref="G7:H8"/>
    <x:mergeCell ref="A18:H18"/>
    <x:mergeCell ref="A20:H20"/>
    <x:mergeCell ref="A21:H21"/>
    <x:mergeCell ref="A22:H22"/>
    <x:mergeCell ref="A23:H23"/>
    <x:mergeCell ref="A24:H24"/>
    <x:mergeCell ref="A25:H25"/>
  </x:mergeCells>
  <x:conditionalFormatting sqref="D11:D16">
    <x:cfRule type="cellIs" dxfId="1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c504345a0555427c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24" hidden="0" customWidth="1"/>
    <x:col min="4" max="4" width="24" hidden="0" customWidth="1"/>
    <x:col min="5" max="5" width="40" hidden="0" customWidth="1"/>
    <x:col min="6" max="6" width="4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Planning assumptions</x:v>
      </x:c>
      <x:c r="B1" s="5"/>
      <x:c r="C1" s="5"/>
      <x:c r="D1" s="5"/>
      <x:c r="E1" s="5"/>
      <x:c r="F1" s="5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Editable inputs. Blue = input. Yellow = uncertain assumption. Values are not verified company tax settings.</x:v>
      </x:c>
      <x:c r="B2" s="10"/>
      <x:c r="C2" s="10"/>
      <x:c r="D2" s="10"/>
      <x:c r="E2" s="10"/>
      <x:c r="F2" s="10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Input</x:v>
      </x:c>
      <x:c r="B4" s="16" t="str">
        <x:v>Value</x:v>
      </x:c>
      <x:c r="C4" s="16" t="str">
        <x:v>Unit</x:v>
      </x:c>
      <x:c r="D4" s="16" t="str">
        <x:v>Evidence class</x:v>
      </x:c>
      <x:c r="E4" s="16" t="str">
        <x:v>Source</x:v>
      </x:c>
      <x:c r="F4" s="16" t="str">
        <x:v>Interpretation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54" customHeight="1">
      <x:c r="A5" s="30" t="str">
        <x:v>consumer vat rate</x:v>
      </x:c>
      <x:c r="B5" s="31" t="n">
        <x:v>0.21</x:v>
      </x:c>
      <x:c r="C5" s="30" t="str">
        <x:v>fraction</x:v>
      </x:c>
      <x:c r="D5" s="30" t="str">
        <x:v>scenario</x:v>
      </x:c>
      <x:c r="E5" s="30" t="str">
        <x:v>docs/SOURCES.md#s34-eu-one-stop-shop</x:v>
      </x:c>
      <x:c r="F5" s="30" t="str">
        <x:v>Illustrative consumer VAT. Also test exemption and 27 percent scenarios.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54" customHeight="1">
      <x:c r="A6" s="30" t="str">
        <x:v>refund rate</x:v>
      </x:c>
      <x:c r="B6" s="31" t="n">
        <x:v>0.02</x:v>
      </x:c>
      <x:c r="C6" s="30" t="str">
        <x:v>fraction of gross billings</x:v>
      </x:c>
      <x:c r="D6" s="30" t="str">
        <x:v>assumption</x:v>
      </x:c>
      <x:c r="E6" s="30" t="str">
        <x:v>Owner planning model</x:v>
      </x:c>
      <x:c r="F6" s="30" t="str">
        <x:v>Reduces net revenue. Original processing fees remain in costs.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54" customHeight="1">
      <x:c r="A7" s="30" t="str">
        <x:v>card rate</x:v>
      </x:c>
      <x:c r="B7" s="31" t="n">
        <x:v>0.018</x:v>
      </x:c>
      <x:c r="C7" s="30" t="str">
        <x:v>fraction of gross billings</x:v>
      </x:c>
      <x:c r="D7" s="30" t="str">
        <x:v>assumption</x:v>
      </x:c>
      <x:c r="E7" s="30" t="str">
        <x:v>https://stripe.com/ro/pricing</x:v>
      </x:c>
      <x:c r="F7" s="30" t="str">
        <x:v>Blended estimate above 1.5 percent standard EEA rate; test higher-card-cost scenario.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54" customHeight="1">
      <x:c r="A8" s="30" t="str">
        <x:v>billing rate</x:v>
      </x:c>
      <x:c r="B8" s="32" t="n">
        <x:v>0.007</x:v>
      </x:c>
      <x:c r="C8" s="30" t="str">
        <x:v>fraction of gross billings</x:v>
      </x:c>
      <x:c r="D8" s="30" t="str">
        <x:v>published</x:v>
      </x:c>
      <x:c r="E8" s="30" t="str">
        <x:v>https://stripe.com/en-ro/billing/pricing</x:v>
      </x:c>
      <x:c r="F8" s="30" t="str">
        <x:v>Pay-as-you-go Billing; confirm account terms.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54" customHeight="1">
      <x:c r="A9" s="30" t="str">
        <x:v>tax fee rate</x:v>
      </x:c>
      <x:c r="B9" s="31" t="n">
        <x:v>0.005</x:v>
      </x:c>
      <x:c r="C9" s="30" t="str">
        <x:v>fraction of gross billings</x:v>
      </x:c>
      <x:c r="D9" s="30" t="str">
        <x:v>assumption</x:v>
      </x:c>
      <x:c r="E9" s="30" t="str">
        <x:v>https://stripe.com/tax/pricing</x:v>
      </x:c>
      <x:c r="F9" s="30" t="str">
        <x:v>Conservative reserve for selected Tax integration, not filing service.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54" customHeight="1">
      <x:c r="A10" s="30" t="str">
        <x:v>payment fixed ron</x:v>
      </x:c>
      <x:c r="B10" s="33" t="n">
        <x:v>1</x:v>
      </x:c>
      <x:c r="C10" s="30" t="str">
        <x:v>RON per successful payment</x:v>
      </x:c>
      <x:c r="D10" s="30" t="str">
        <x:v>published</x:v>
      </x:c>
      <x:c r="E10" s="30" t="str">
        <x:v>https://stripe.com/ro/pricing</x:v>
      </x:c>
      <x:c r="F10" s="30" t="str">
        <x:v>Standard price component; actual provider contract controls.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54" customHeight="1">
      <x:c r="A11" s="30" t="str">
        <x:v>eur ron</x:v>
      </x:c>
      <x:c r="B11" s="34" t="n">
        <x:v>5</x:v>
      </x:c>
      <x:c r="C11" s="30" t="str">
        <x:v>RON per EUR</x:v>
      </x:c>
      <x:c r="D11" s="30" t="str">
        <x:v>scenario</x:v>
      </x:c>
      <x:c r="E11" s="30" t="str">
        <x:v>Planning assumption, not a current FX quote</x:v>
      </x:c>
      <x:c r="F11" s="30" t="str">
        <x:v>Editable conversion for fixed payment fees.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54" customHeight="1">
      <x:c r="A12" s="30" t="str">
        <x:v>fx reserve rate</x:v>
      </x:c>
      <x:c r="B12" s="31" t="n">
        <x:v>0.005</x:v>
      </x:c>
      <x:c r="C12" s="30" t="str">
        <x:v>fraction of gross billings</x:v>
      </x:c>
      <x:c r="D12" s="30" t="str">
        <x:v>assumption</x:v>
      </x:c>
      <x:c r="E12" s="30" t="str">
        <x:v>Planning assumption</x:v>
      </x:c>
      <x:c r="F12" s="30" t="str">
        <x:v>Operational FX and payment-currency buffer. Not a quoted Stripe rate.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54" customHeight="1">
      <x:c r="A13" s="30" t="str">
        <x:v>dispute probability</x:v>
      </x:c>
      <x:c r="B13" s="31" t="n">
        <x:v>0.001</x:v>
      </x:c>
      <x:c r="C13" s="30" t="str">
        <x:v>disputes per payment</x:v>
      </x:c>
      <x:c r="D13" s="30" t="str">
        <x:v>assumption</x:v>
      </x:c>
      <x:c r="E13" s="30" t="str">
        <x:v>Planning assumption</x:v>
      </x:c>
      <x:c r="F13" s="30" t="str">
        <x:v>Revenue loss is included in refund assumption. This adds dispute handling fee exposure.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54" customHeight="1">
      <x:c r="A14" s="30" t="str">
        <x:v>dispute fee eur</x:v>
      </x:c>
      <x:c r="B14" s="34" t="n">
        <x:v>20</x:v>
      </x:c>
      <x:c r="C14" s="30" t="str">
        <x:v>EUR per dispute</x:v>
      </x:c>
      <x:c r="D14" s="30" t="str">
        <x:v>assumption</x:v>
      </x:c>
      <x:c r="E14" s="30" t="str">
        <x:v>Planning reserve, verify merchant schedule</x:v>
      </x:c>
      <x:c r="F14" s="30" t="str">
        <x:v>Not a provider quote.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54" customHeight="1">
      <x:c r="A15" s="30" t="str">
        <x:v>credit cost eur</x:v>
      </x:c>
      <x:c r="B15" s="33" t="n">
        <x:v>0.01</x:v>
      </x:c>
      <x:c r="C15" s="30" t="str">
        <x:v>EUR all-in metered cost per credit</x:v>
      </x:c>
      <x:c r="D15" s="30" t="str">
        <x:v>design</x:v>
      </x:c>
      <x:c r="E15" s="30" t="str">
        <x:v>docs/BILLING-AND-TAX.md</x:v>
      </x:c>
      <x:c r="F15" s="30" t="str">
        <x:v>Internal ceiling includes compute, model, tool, relevant tax, FX and retry exposure; do not add the same cost twice.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54" customHeight="1">
      <x:c r="A16" s="30" t="str">
        <x:v>utilization</x:v>
      </x:c>
      <x:c r="B16" s="31" t="n">
        <x:v>0.6</x:v>
      </x:c>
      <x:c r="C16" s="30" t="str">
        <x:v>fraction of included credits consumed</x:v>
      </x:c>
      <x:c r="D16" s="30" t="str">
        <x:v>assumption</x:v>
      </x:c>
      <x:c r="E16" s="30" t="str">
        <x:v>No production observations yet</x:v>
      </x:c>
      <x:c r="F16" s="30" t="str">
        <x:v>Also calculate 100 percent consumption.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54" customHeight="1">
      <x:c r="A17" s="30" t="str">
        <x:v>starter service eur</x:v>
      </x:c>
      <x:c r="B17" s="34" t="n">
        <x:v>0.55</x:v>
      </x:c>
      <x:c r="C17" s="30" t="str">
        <x:v>EUR per active user-month</x:v>
      </x:c>
      <x:c r="D17" s="30" t="str">
        <x:v>assumption</x:v>
      </x:c>
      <x:c r="E17" s="30" t="str">
        <x:v>Planning reserve</x:v>
      </x:c>
      <x:c r="F17" s="30" t="str">
        <x:v>0.35 storage/backend/email/monitoring plus 0.20 support and invoice handling. Metered jobs excluded.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54" customHeight="1">
      <x:c r="A18" s="30" t="str">
        <x:v>pro service eur</x:v>
      </x:c>
      <x:c r="B18" s="34" t="n">
        <x:v>0.95</x:v>
      </x:c>
      <x:c r="C18" s="30" t="str">
        <x:v>EUR per active user-month</x:v>
      </x:c>
      <x:c r="D18" s="30" t="str">
        <x:v>assumption</x:v>
      </x:c>
      <x:c r="E18" s="30" t="str">
        <x:v>Planning reserve</x:v>
      </x:c>
      <x:c r="F18" s="30" t="str">
        <x:v>0.55 storage/backend/email/monitoring plus 0.40 support and invoice handling. Metered jobs excluded.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54" customHeight="1">
      <x:c r="A19" s="30" t="str">
        <x:v>fixed monthly eur</x:v>
      </x:c>
      <x:c r="B19" s="34" t="n">
        <x:v>30</x:v>
      </x:c>
      <x:c r="C19" s="30" t="str">
        <x:v>EUR per month</x:v>
      </x:c>
      <x:c r="D19" s="30" t="str">
        <x:v>scenario</x:v>
      </x:c>
      <x:c r="E19" s="30" t="str">
        <x:v>https://vercel.com/pricing</x:v>
      </x:c>
      <x:c r="F19" s="30" t="str">
        <x:v>New paid host plus small overhead reserve. Test EUR 8 lean and EUR 80 growing-operations profiles.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54" customHeight="1">
      <x:c r="A20" s="30" t="str">
        <x:v>starter share</x:v>
      </x:c>
      <x:c r="B20" s="31" t="n">
        <x:v>0.7</x:v>
      </x:c>
      <x:c r="C20" s="30" t="str">
        <x:v>fraction of paying users</x:v>
      </x:c>
      <x:c r="D20" s="30" t="str">
        <x:v>assumption</x:v>
      </x:c>
      <x:c r="E20" s="30" t="str">
        <x:v>No production observations yet</x:v>
      </x:c>
      <x:c r="F20" s="30" t="str">
        <x:v>Pro share is the remainder.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54" customHeight="1">
      <x:c r="A21" s="30" t="str">
        <x:v>weekly share</x:v>
      </x:c>
      <x:c r="B21" s="31" t="n">
        <x:v>0.15</x:v>
      </x:c>
      <x:c r="C21" s="30" t="str">
        <x:v>fraction of paying users</x:v>
      </x:c>
      <x:c r="D21" s="30" t="str">
        <x:v>assumption</x:v>
      </x:c>
      <x:c r="E21" s="30" t="str">
        <x:v>No production observations yet</x:v>
      </x:c>
      <x:c r="F21" s="30" t="str">
        <x:v>Interval mix, not payment cash timing.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54" customHeight="1">
      <x:c r="A22" s="30" t="str">
        <x:v>monthly share</x:v>
      </x:c>
      <x:c r="B22" s="31" t="n">
        <x:v>0.65</x:v>
      </x:c>
      <x:c r="C22" s="30" t="str">
        <x:v>fraction of paying users</x:v>
      </x:c>
      <x:c r="D22" s="30" t="str">
        <x:v>assumption</x:v>
      </x:c>
      <x:c r="E22" s="30" t="str">
        <x:v>No production observations yet</x:v>
      </x:c>
      <x:c r="F22" s="30" t="str">
        <x:v>Annual share is the remainder.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54" customHeight="1">
      <x:c r="A23" s="30" t="str">
        <x:v>target margin</x:v>
      </x:c>
      <x:c r="B23" s="32" t="n">
        <x:v>0.6</x:v>
      </x:c>
      <x:c r="C23" s="30" t="str">
        <x:v>fraction of revenue net of VAT and refunds</x:v>
      </x:c>
      <x:c r="D23" s="30" t="str">
        <x:v>owner_decision</x:v>
      </x:c>
      <x:c r="E23" s="30" t="str">
        <x:v>Owner instructions</x:v>
      </x:c>
      <x:c r="F23" s="30" t="str">
        <x:v>Before company tax, excluding founder salary, marketing and development.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54" customHeight="1">
      <x:c r="A24" s="30" t="str">
        <x:v>days year</x:v>
      </x:c>
      <x:c r="B24" s="34" t="n">
        <x:v>365.25</x:v>
      </x:c>
      <x:c r="C24" s="30" t="str">
        <x:v>days per planning year</x:v>
      </x:c>
      <x:c r="D24" s="30" t="str">
        <x:v>assumption</x:v>
      </x:c>
      <x:c r="E24" s="30" t="str">
        <x:v>Planning normalization</x:v>
      </x:c>
      <x:c r="F24" s="30" t="str">
        <x:v>For monthly equivalents only; actual weekly periods are seven days.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54" customHeight="1">
      <x:c r="A25" s="30" t="str">
        <x:v>days week</x:v>
      </x:c>
      <x:c r="B25" s="33" t="n">
        <x:v>7</x:v>
      </x:c>
      <x:c r="C25" s="30" t="str">
        <x:v>days per weekly period</x:v>
      </x:c>
      <x:c r="D25" s="30" t="str">
        <x:v>design</x:v>
      </x:c>
      <x:c r="E25" s="30" t="str">
        <x:v>Product catalogue</x:v>
      </x:c>
      <x:c r="F25" s="30" t="str">
        <x:v>Stripe week interval.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54" customHeight="1">
      <x:c r="A26" s="30" t="str">
        <x:v>months year</x:v>
      </x:c>
      <x:c r="B26" s="33" t="n">
        <x:v>12</x:v>
      </x:c>
      <x:c r="C26" s="30" t="str">
        <x:v>months per year</x:v>
      </x:c>
      <x:c r="D26" s="30" t="str">
        <x:v>design</x:v>
      </x:c>
      <x:c r="E26" s="30" t="str">
        <x:v>Product catalogue</x:v>
      </x:c>
      <x:c r="F26" s="30" t="str">
        <x:v>Annual revenue recognized over twelve months.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54" customHeight="1">
      <x:c r="A27" s="30" t="str">
        <x:v>usd eur</x:v>
      </x:c>
      <x:c r="B27" s="34" t="n">
        <x:v>0.9</x:v>
      </x:c>
      <x:c r="C27" s="30" t="str">
        <x:v>EUR per USD</x:v>
      </x:c>
      <x:c r="D27" s="30" t="str">
        <x:v>scenario</x:v>
      </x:c>
      <x:c r="E27" s="30" t="str">
        <x:v>Planning assumption, not current FX quote</x:v>
      </x:c>
      <x:c r="F27" s="30" t="str">
        <x:v>Only used in example provider-cost calculations.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54" customHeight="1">
      <x:c r="A28" s="30" t="str">
        <x:v>supplier tax uplift</x:v>
      </x:c>
      <x:c r="B28" s="31" t="n">
        <x:v>0.21</x:v>
      </x:c>
      <x:c r="C28" s="30" t="str">
        <x:v>fraction of taxable supplier cost</x:v>
      </x:c>
      <x:c r="D28" s="30" t="str">
        <x:v>scenario</x:v>
      </x:c>
      <x:c r="E28" s="30" t="str">
        <x:v>Conservative unrecoverable-input-tax scenario</x:v>
      </x:c>
      <x:c r="F28" s="30" t="str">
        <x:v>Only provider example. Included-credit ceiling already includes applicable supplier tax.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54" customHeight="1">
      <x:c r="A29" s="30" t="str">
        <x:v>retry buffer</x:v>
      </x:c>
      <x:c r="B29" s="31" t="n">
        <x:v>0.2</x:v>
      </x:c>
      <x:c r="C29" s="30" t="str">
        <x:v>fraction of base provider cost</x:v>
      </x:c>
      <x:c r="D29" s="30" t="str">
        <x:v>assumption</x:v>
      </x:c>
      <x:c r="E29" s="30" t="str">
        <x:v>Planning contingency</x:v>
      </x:c>
      <x:c r="F29" s="30" t="str">
        <x:v>Example quote buffer, not measured retries.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54" customHeight="1">
      <x:c r="A30" s="30" t="str">
        <x:v>asr usd minute</x:v>
      </x:c>
      <x:c r="B30" s="33" t="n">
        <x:v>0.003</x:v>
      </x:c>
      <x:c r="C30" s="30" t="str">
        <x:v>USD per audio minute</x:v>
      </x:c>
      <x:c r="D30" s="30" t="str">
        <x:v>published_estimate</x:v>
      </x:c>
      <x:c r="E30" s="30" t="str">
        <x:v>https://developers.openai.com/api/docs/pricing</x:v>
      </x:c>
      <x:c r="F30" s="30" t="str">
        <x:v>gpt-4o-mini-transcribe estimate.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54" customHeight="1">
      <x:c r="A31" s="30" t="str">
        <x:v>model input usd million</x:v>
      </x:c>
      <x:c r="B31" s="33" t="n">
        <x:v>0.75</x:v>
      </x:c>
      <x:c r="C31" s="30" t="str">
        <x:v>USD per million input tokens</x:v>
      </x:c>
      <x:c r="D31" s="30" t="str">
        <x:v>published</x:v>
      </x:c>
      <x:c r="E31" s="30" t="str">
        <x:v>https://developers.openai.com/api/docs/models/gpt-5.4-mini</x:v>
      </x:c>
      <x:c r="F31" s="30" t="str">
        <x:v>Standard candidate price at review.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54" customHeight="1">
      <x:c r="A32" s="30" t="str">
        <x:v>model output usd million</x:v>
      </x:c>
      <x:c r="B32" s="33" t="n">
        <x:v>4.5</x:v>
      </x:c>
      <x:c r="C32" s="30" t="str">
        <x:v>USD per million output tokens</x:v>
      </x:c>
      <x:c r="D32" s="30" t="str">
        <x:v>published</x:v>
      </x:c>
      <x:c r="E32" s="30" t="str">
        <x:v>https://developers.openai.com/api/docs/models/gpt-5.4-mini</x:v>
      </x:c>
      <x:c r="F32" s="30" t="str">
        <x:v>Include billed reasoning tokens where applicable.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54" customHeight="1">
      <x:c r="A33" s="30" t="str">
        <x:v>sandbox cpu usd second</x:v>
      </x:c>
      <x:c r="B33" s="33" t="n">
        <x:v>0.000014</x:v>
      </x:c>
      <x:c r="C33" s="30" t="str">
        <x:v>USD per vCPU-second</x:v>
      </x:c>
      <x:c r="D33" s="30" t="str">
        <x:v>published</x:v>
      </x:c>
      <x:c r="E33" s="30" t="str">
        <x:v>https://e2b.dev/pricing</x:v>
      </x:c>
      <x:c r="F33" s="30" t="str">
        <x:v>Base resource price, verify current invoice.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54" customHeight="1">
      <x:c r="A34" s="30" t="str">
        <x:v>sandbox memory usd second</x:v>
      </x:c>
      <x:c r="B34" s="33" t="n">
        <x:v>0.0000045</x:v>
      </x:c>
      <x:c r="C34" s="30" t="str">
        <x:v>USD per GiB-second</x:v>
      </x:c>
      <x:c r="D34" s="30" t="str">
        <x:v>published</x:v>
      </x:c>
      <x:c r="E34" s="30" t="str">
        <x:v>https://e2b.dev/pricing</x:v>
      </x:c>
      <x:c r="F34" s="30" t="str">
        <x:v>Additional disk, minimum billing or network charges must be added if applicable.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54" customHeight="1">
      <x:c r="A35" s="30" t="str">
        <x:v>clip minutes</x:v>
      </x:c>
      <x:c r="B35" s="34" t="n">
        <x:v>1.5</x:v>
      </x:c>
      <x:c r="C35" s="30" t="str">
        <x:v>minutes</x:v>
      </x:c>
      <x:c r="D35" s="30" t="str">
        <x:v>example</x:v>
      </x:c>
      <x:c r="E35" s="30" t="str">
        <x:v>Owner workload example</x:v>
      </x:c>
      <x:c r="F35" s="30" t="str">
        <x:v>Illustrative short video, not measured median.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54" customHeight="1">
      <x:c r="A36" s="30" t="str">
        <x:v>clip input tokens</x:v>
      </x:c>
      <x:c r="B36" s="34" t="n">
        <x:v>12000</x:v>
      </x:c>
      <x:c r="C36" s="30" t="str">
        <x:v>tokens including image budget</x:v>
      </x:c>
      <x:c r="D36" s="30" t="str">
        <x:v>assumption</x:v>
      </x:c>
      <x:c r="E36" s="30" t="str">
        <x:v>Unbenchmarked request budget</x:v>
      </x:c>
      <x:c r="F36" s="30" t="str">
        <x:v>Actual image tokenization and provider usage replace this estimate.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54" customHeight="1">
      <x:c r="A37" s="30" t="str">
        <x:v>clip output tokens</x:v>
      </x:c>
      <x:c r="B37" s="34" t="n">
        <x:v>1500</x:v>
      </x:c>
      <x:c r="C37" s="30" t="str">
        <x:v>tokens</x:v>
      </x:c>
      <x:c r="D37" s="30" t="str">
        <x:v>assumption</x:v>
      </x:c>
      <x:c r="E37" s="30" t="str">
        <x:v>Unbenchmarked request budget</x:v>
      </x:c>
      <x:c r="F37" s="30" t="str">
        <x:v>Source understanding only, excludes project planning and coding.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54" customHeight="1">
      <x:c r="A38" s="30" t="str">
        <x:v>clip sandbox seconds</x:v>
      </x:c>
      <x:c r="B38" s="34" t="n">
        <x:v>60</x:v>
      </x:c>
      <x:c r="C38" s="30" t="str">
        <x:v>seconds</x:v>
      </x:c>
      <x:c r="D38" s="30" t="str">
        <x:v>assumption</x:v>
      </x:c>
      <x:c r="E38" s="30" t="str">
        <x:v>Unbenchmarked media preparation</x:v>
      </x:c>
      <x:c r="F38" s="30" t="str">
        <x:v>Default example 2 vCPU and 1 GiB.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54" customHeight="1">
      <x:c r="A39" s="30" t="str">
        <x:v>sandbox vcpus</x:v>
      </x:c>
      <x:c r="B39" s="33" t="n">
        <x:v>2</x:v>
      </x:c>
      <x:c r="C39" s="30" t="str">
        <x:v>vCPU</x:v>
      </x:c>
      <x:c r="D39" s="30" t="str">
        <x:v>design</x:v>
      </x:c>
      <x:c r="E39" s="30" t="str">
        <x:v>Cloud worker initial default</x:v>
      </x:c>
      <x:c r="F39" s="30" t="str">
        <x:v>Resource quote can change per authorized task.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54" customHeight="1">
      <x:c r="A40" s="30" t="str">
        <x:v>sandbox gib</x:v>
      </x:c>
      <x:c r="B40" s="33" t="n">
        <x:v>1</x:v>
      </x:c>
      <x:c r="C40" s="30" t="str">
        <x:v>GiB</x:v>
      </x:c>
      <x:c r="D40" s="30" t="str">
        <x:v>design</x:v>
      </x:c>
      <x:c r="E40" s="30" t="str">
        <x:v>Cloud worker initial default</x:v>
      </x:c>
      <x:c r="F40" s="30" t="str">
        <x:v>Large builds require a new quote.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54" customHeight="1">
      <x:c r="A41" s="30" t="str">
        <x:v>extra provider cost usd</x:v>
      </x:c>
      <x:c r="B41" s="34" t="n">
        <x:v>0.002</x:v>
      </x:c>
      <x:c r="C41" s="30" t="str">
        <x:v>USD per example source</x:v>
      </x:c>
      <x:c r="D41" s="30" t="str">
        <x:v>assumption</x:v>
      </x:c>
      <x:c r="E41" s="30" t="str">
        <x:v>Network, storage, and minimum-billing reserve</x:v>
      </x:c>
      <x:c r="F41" s="30" t="str">
        <x:v>Example only. Actual cost ledger replaces this input.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4861383deab94f99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Proposed price catalogue</x:v>
      </x:c>
      <x:c r="B1" s="5"/>
      <x:c r="C1" s="5"/>
      <x:c r="D1" s="5"/>
      <x:c r="E1" s="5"/>
      <x:c r="F1" s="5"/>
      <x:c r="G1" s="5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EUR consumer totals where applicable. Annual revenue is normalized monthly; included annual-plan credits replenish monthly.</x:v>
      </x:c>
      <x:c r="B2" s="10"/>
      <x:c r="C2" s="10"/>
      <x:c r="D2" s="10"/>
      <x:c r="E2" s="10"/>
      <x:c r="F2" s="10"/>
      <x:c r="G2" s="10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Tier</x:v>
      </x:c>
      <x:c r="B4" s="16" t="str">
        <x:v>Weekly EUR</x:v>
      </x:c>
      <x:c r="C4" s="16" t="str">
        <x:v>Monthly EUR</x:v>
      </x:c>
      <x:c r="D4" s="16" t="str">
        <x:v>Annual EUR</x:v>
      </x:c>
      <x:c r="E4" s="16" t="str">
        <x:v>Weekly credits</x:v>
      </x:c>
      <x:c r="F4" s="16" t="str">
        <x:v>Monthly credits</x:v>
      </x:c>
      <x:c r="G4" s="16" t="str">
        <x:v>Service EUR/month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20" customHeight="1">
      <x:c r="A5" s="2" t="str">
        <x:v>Starter</x:v>
      </x:c>
      <x:c r="B5" s="42" t="n">
        <x:v>5.99</x:v>
      </x:c>
      <x:c r="C5" s="42" t="n">
        <x:v>19</x:v>
      </x:c>
      <x:c r="D5" s="42" t="n">
        <x:v>190</x:v>
      </x:c>
      <x:c r="E5" s="46" t="n">
        <x:v>65</x:v>
      </x:c>
      <x:c r="F5" s="46" t="n">
        <x:v>250</x:v>
      </x:c>
      <x:c r="G5" s="44" t="n">
        <x:f>'Assumptions'!$B$17</x:f>
        <x:v>0.55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20" customHeight="1">
      <x:c r="A6" s="2" t="str">
        <x:v>Pro</x:v>
      </x:c>
      <x:c r="B6" s="42" t="n">
        <x:v>11.99</x:v>
      </x:c>
      <x:c r="C6" s="42" t="n">
        <x:v>39</x:v>
      </x:c>
      <x:c r="D6" s="42" t="n">
        <x:v>390</x:v>
      </x:c>
      <x:c r="E6" s="46" t="n">
        <x:v>150</x:v>
      </x:c>
      <x:c r="F6" s="46" t="n">
        <x:v>600</x:v>
      </x:c>
      <x:c r="G6" s="44" t="n">
        <x:f>'Assumptions'!$B$18</x:f>
        <x:v>0.95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2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20" customHeight="1">
      <x:c r="A9" s="30" t="str">
        <x:v>Included processing credits are bounded service units. The internal all-in metered-cost ceiling is an assumption in the model, not a public currency conversion. No cloud coding is unlimited.</x:v>
      </x:c>
      <x:c r="B9" s="30"/>
      <x:c r="C9" s="30"/>
      <x:c r="D9" s="30"/>
      <x:c r="E9" s="30"/>
      <x:c r="F9" s="30"/>
      <x:c r="G9" s="30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20" customHeight="1">
      <x:c r="A10" s="30"/>
      <x:c r="B10" s="30"/>
      <x:c r="C10" s="30"/>
      <x:c r="D10" s="30"/>
      <x:c r="E10" s="30"/>
      <x:c r="F10" s="30"/>
      <x:c r="G10" s="30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20" customHeight="1">
      <x:c r="A11" s="30"/>
      <x:c r="B11" s="30"/>
      <x:c r="C11" s="30"/>
      <x:c r="D11" s="30"/>
      <x:c r="E11" s="30"/>
      <x:c r="F11" s="30"/>
      <x:c r="G11" s="30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20" customHeight="1">
      <x:c r="A12" s="30"/>
      <x:c r="B12" s="30"/>
      <x:c r="C12" s="30"/>
      <x:c r="D12" s="30"/>
      <x:c r="E12" s="30"/>
      <x:c r="F12" s="30"/>
      <x:c r="G12" s="30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G1"/>
    <x:mergeCell ref="A2:G2"/>
    <x:mergeCell ref="A9:G12"/>
  </x:mergeCells>
  <x:pageMargins left="0.7" right="0.7" top="0.75" bottom="0.75" header="0.3" footer="0.3"/>
  <x:legacyDrawing xmlns:r="http://schemas.openxmlformats.org/officeDocument/2006/relationships" r:id="R00e981e177be440d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Scenario assumptions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Green cells link to base assumptions. Blue/yellow cells override a scenario. No provider promotions or shared-cache savings are assumed.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Scenario</x:v>
      </x:c>
      <x:c r="B4" s="16" t="str">
        <x:v>consumer vat rate</x:v>
      </x:c>
      <x:c r="C4" s="16" t="str">
        <x:v>refund rate</x:v>
      </x:c>
      <x:c r="D4" s="16" t="str">
        <x:v>card rate</x:v>
      </x:c>
      <x:c r="E4" s="16" t="str">
        <x:v>billing rate</x:v>
      </x:c>
      <x:c r="F4" s="16" t="str">
        <x:v>tax fee rate</x:v>
      </x:c>
      <x:c r="G4" s="16" t="str">
        <x:v>payment fixed ron</x:v>
      </x:c>
      <x:c r="H4" s="16" t="str">
        <x:v>eur ron</x:v>
      </x:c>
      <x:c r="I4" s="16" t="str">
        <x:v>fx reserve rate</x:v>
      </x:c>
      <x:c r="J4" s="16" t="str">
        <x:v>dispute probability</x:v>
      </x:c>
      <x:c r="K4" s="16" t="str">
        <x:v>dispute fee eur</x:v>
      </x:c>
      <x:c r="L4" s="16" t="str">
        <x:v>credit cost eur</x:v>
      </x:c>
      <x:c r="M4" s="16" t="str">
        <x:v>utilization</x:v>
      </x:c>
      <x:c r="N4" s="16" t="str">
        <x:v>starter service eur</x:v>
      </x:c>
      <x:c r="O4" s="16" t="str">
        <x:v>pro service eur</x:v>
      </x:c>
      <x:c r="P4" s="16" t="str">
        <x:v>fixed monthly eur</x:v>
      </x:c>
      <x:c r="Q4" s="16" t="str">
        <x:v>starter share</x:v>
      </x:c>
      <x:c r="R4" s="16" t="str">
        <x:v>weekly share</x:v>
      </x:c>
      <x:c r="S4" s="16" t="str">
        <x:v>monthly share</x:v>
      </x:c>
      <x:c r="T4" s="16" t="str">
        <x:v>target margin</x:v>
      </x:c>
      <x:c r="U4" s="16" t="str">
        <x:v>days year</x:v>
      </x:c>
      <x:c r="V4" s="16" t="str">
        <x:v>days week</x:v>
      </x:c>
      <x:c r="W4" s="16" t="str">
        <x:v>months year</x:v>
      </x:c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34" customHeight="1">
      <x:c r="A5" s="30" t="str">
        <x:v>Base mixed intervals</x:v>
      </x:c>
      <x:c r="B5" s="48" t="n">
        <x:f>'Assumptions'!$B$5</x:f>
        <x:v>0.21</x:v>
      </x:c>
      <x:c r="C5" s="48" t="n">
        <x:f>'Assumptions'!$B$6</x:f>
        <x:v>0.02</x:v>
      </x:c>
      <x:c r="D5" s="48" t="n">
        <x:f>'Assumptions'!$B$7</x:f>
        <x:v>0.018</x:v>
      </x:c>
      <x:c r="E5" s="48" t="n">
        <x:f>'Assumptions'!$B$8</x:f>
        <x:v>0.007</x:v>
      </x:c>
      <x:c r="F5" s="48" t="n">
        <x:f>'Assumptions'!$B$9</x:f>
        <x:v>0.005</x:v>
      </x:c>
      <x:c r="G5" s="50" t="n">
        <x:f>'Assumptions'!$B$10</x:f>
        <x:v>1</x:v>
      </x:c>
      <x:c r="H5" s="50" t="n">
        <x:f>'Assumptions'!$B$11</x:f>
        <x:v>5</x:v>
      </x:c>
      <x:c r="I5" s="48" t="n">
        <x:f>'Assumptions'!$B$12</x:f>
        <x:v>0.005</x:v>
      </x:c>
      <x:c r="J5" s="48" t="n">
        <x:f>'Assumptions'!$B$13</x:f>
        <x:v>0.001</x:v>
      </x:c>
      <x:c r="K5" s="50" t="n">
        <x:f>'Assumptions'!$B$14</x:f>
        <x:v>20</x:v>
      </x:c>
      <x:c r="L5" s="50" t="n">
        <x:f>'Assumptions'!$B$15</x:f>
        <x:v>0.01</x:v>
      </x:c>
      <x:c r="M5" s="48" t="n">
        <x:f>'Assumptions'!$B$16</x:f>
        <x:v>0.6</x:v>
      </x:c>
      <x:c r="N5" s="50" t="n">
        <x:f>'Assumptions'!$B$17</x:f>
        <x:v>0.55</x:v>
      </x:c>
      <x:c r="O5" s="50" t="n">
        <x:f>'Assumptions'!$B$18</x:f>
        <x:v>0.95</x:v>
      </x:c>
      <x:c r="P5" s="50" t="n">
        <x:f>'Assumptions'!$B$19</x:f>
        <x:v>30</x:v>
      </x:c>
      <x:c r="Q5" s="48" t="n">
        <x:f>'Assumptions'!$B$20</x:f>
        <x:v>0.7</x:v>
      </x:c>
      <x:c r="R5" s="48" t="n">
        <x:f>'Assumptions'!$B$21</x:f>
        <x:v>0.15</x:v>
      </x:c>
      <x:c r="S5" s="48" t="n">
        <x:f>'Assumptions'!$B$22</x:f>
        <x:v>0.65</x:v>
      </x:c>
      <x:c r="T5" s="48" t="n">
        <x:f>'Assumptions'!$B$23</x:f>
        <x:v>0.6</x:v>
      </x:c>
      <x:c r="U5" s="50" t="n">
        <x:f>'Assumptions'!$B$24</x:f>
        <x:v>365.25</x:v>
      </x:c>
      <x:c r="V5" s="50" t="n">
        <x:f>'Assumptions'!$B$25</x:f>
        <x:v>7</x:v>
      </x:c>
      <x:c r="W5" s="50" t="n">
        <x:f>'Assumptions'!$B$26</x:f>
        <x:v>12</x:v>
      </x:c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34" customHeight="1">
      <x:c r="A6" s="30" t="str">
        <x:v>Lean budget host</x:v>
      </x:c>
      <x:c r="B6" s="48" t="n">
        <x:f>'Assumptions'!$B$5</x:f>
        <x:v>0.21</x:v>
      </x:c>
      <x:c r="C6" s="48" t="n">
        <x:f>'Assumptions'!$B$6</x:f>
        <x:v>0.02</x:v>
      </x:c>
      <x:c r="D6" s="48" t="n">
        <x:f>'Assumptions'!$B$7</x:f>
        <x:v>0.018</x:v>
      </x:c>
      <x:c r="E6" s="48" t="n">
        <x:f>'Assumptions'!$B$8</x:f>
        <x:v>0.007</x:v>
      </x:c>
      <x:c r="F6" s="48" t="n">
        <x:f>'Assumptions'!$B$9</x:f>
        <x:v>0.005</x:v>
      </x:c>
      <x:c r="G6" s="50" t="n">
        <x:f>'Assumptions'!$B$10</x:f>
        <x:v>1</x:v>
      </x:c>
      <x:c r="H6" s="50" t="n">
        <x:f>'Assumptions'!$B$11</x:f>
        <x:v>5</x:v>
      </x:c>
      <x:c r="I6" s="48" t="n">
        <x:f>'Assumptions'!$B$12</x:f>
        <x:v>0.005</x:v>
      </x:c>
      <x:c r="J6" s="48" t="n">
        <x:f>'Assumptions'!$B$13</x:f>
        <x:v>0.001</x:v>
      </x:c>
      <x:c r="K6" s="50" t="n">
        <x:f>'Assumptions'!$B$14</x:f>
        <x:v>20</x:v>
      </x:c>
      <x:c r="L6" s="50" t="n">
        <x:f>'Assumptions'!$B$15</x:f>
        <x:v>0.01</x:v>
      </x:c>
      <x:c r="M6" s="48" t="n">
        <x:f>'Assumptions'!$B$16</x:f>
        <x:v>0.6</x:v>
      </x:c>
      <x:c r="N6" s="50" t="n">
        <x:f>'Assumptions'!$B$17</x:f>
        <x:v>0.55</x:v>
      </x:c>
      <x:c r="O6" s="50" t="n">
        <x:f>'Assumptions'!$B$18</x:f>
        <x:v>0.95</x:v>
      </x:c>
      <x:c r="P6" s="56" t="n">
        <x:v>8</x:v>
      </x:c>
      <x:c r="Q6" s="48" t="n">
        <x:f>'Assumptions'!$B$20</x:f>
        <x:v>0.7</x:v>
      </x:c>
      <x:c r="R6" s="48" t="n">
        <x:f>'Assumptions'!$B$21</x:f>
        <x:v>0.15</x:v>
      </x:c>
      <x:c r="S6" s="48" t="n">
        <x:f>'Assumptions'!$B$22</x:f>
        <x:v>0.65</x:v>
      </x:c>
      <x:c r="T6" s="48" t="n">
        <x:f>'Assumptions'!$B$23</x:f>
        <x:v>0.6</x:v>
      </x:c>
      <x:c r="U6" s="50" t="n">
        <x:f>'Assumptions'!$B$24</x:f>
        <x:v>365.25</x:v>
      </x:c>
      <x:c r="V6" s="50" t="n">
        <x:f>'Assumptions'!$B$25</x:f>
        <x:v>7</x:v>
      </x:c>
      <x:c r="W6" s="50" t="n">
        <x:f>'Assumptions'!$B$26</x:f>
        <x:v>12</x:v>
      </x:c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34" customHeight="1">
      <x:c r="A7" s="30" t="str">
        <x:v>Growing operations</x:v>
      </x:c>
      <x:c r="B7" s="48" t="n">
        <x:f>'Assumptions'!$B$5</x:f>
        <x:v>0.21</x:v>
      </x:c>
      <x:c r="C7" s="48" t="n">
        <x:f>'Assumptions'!$B$6</x:f>
        <x:v>0.02</x:v>
      </x:c>
      <x:c r="D7" s="48" t="n">
        <x:f>'Assumptions'!$B$7</x:f>
        <x:v>0.018</x:v>
      </x:c>
      <x:c r="E7" s="48" t="n">
        <x:f>'Assumptions'!$B$8</x:f>
        <x:v>0.007</x:v>
      </x:c>
      <x:c r="F7" s="48" t="n">
        <x:f>'Assumptions'!$B$9</x:f>
        <x:v>0.005</x:v>
      </x:c>
      <x:c r="G7" s="50" t="n">
        <x:f>'Assumptions'!$B$10</x:f>
        <x:v>1</x:v>
      </x:c>
      <x:c r="H7" s="50" t="n">
        <x:f>'Assumptions'!$B$11</x:f>
        <x:v>5</x:v>
      </x:c>
      <x:c r="I7" s="48" t="n">
        <x:f>'Assumptions'!$B$12</x:f>
        <x:v>0.005</x:v>
      </x:c>
      <x:c r="J7" s="48" t="n">
        <x:f>'Assumptions'!$B$13</x:f>
        <x:v>0.001</x:v>
      </x:c>
      <x:c r="K7" s="50" t="n">
        <x:f>'Assumptions'!$B$14</x:f>
        <x:v>20</x:v>
      </x:c>
      <x:c r="L7" s="50" t="n">
        <x:f>'Assumptions'!$B$15</x:f>
        <x:v>0.01</x:v>
      </x:c>
      <x:c r="M7" s="48" t="n">
        <x:f>'Assumptions'!$B$16</x:f>
        <x:v>0.6</x:v>
      </x:c>
      <x:c r="N7" s="50" t="n">
        <x:f>'Assumptions'!$B$17</x:f>
        <x:v>0.55</x:v>
      </x:c>
      <x:c r="O7" s="50" t="n">
        <x:f>'Assumptions'!$B$18</x:f>
        <x:v>0.95</x:v>
      </x:c>
      <x:c r="P7" s="56" t="n">
        <x:v>80</x:v>
      </x:c>
      <x:c r="Q7" s="48" t="n">
        <x:f>'Assumptions'!$B$20</x:f>
        <x:v>0.7</x:v>
      </x:c>
      <x:c r="R7" s="48" t="n">
        <x:f>'Assumptions'!$B$21</x:f>
        <x:v>0.15</x:v>
      </x:c>
      <x:c r="S7" s="48" t="n">
        <x:f>'Assumptions'!$B$22</x:f>
        <x:v>0.65</x:v>
      </x:c>
      <x:c r="T7" s="48" t="n">
        <x:f>'Assumptions'!$B$23</x:f>
        <x:v>0.6</x:v>
      </x:c>
      <x:c r="U7" s="50" t="n">
        <x:f>'Assumptions'!$B$24</x:f>
        <x:v>365.25</x:v>
      </x:c>
      <x:c r="V7" s="50" t="n">
        <x:f>'Assumptions'!$B$25</x:f>
        <x:v>7</x:v>
      </x:c>
      <x:c r="W7" s="50" t="n">
        <x:f>'Assumptions'!$B$26</x:f>
        <x:v>12</x:v>
      </x:c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34" customHeight="1">
      <x:c r="A8" s="30" t="str">
        <x:v>Full allowance use</x:v>
      </x:c>
      <x:c r="B8" s="48" t="n">
        <x:f>'Assumptions'!$B$5</x:f>
        <x:v>0.21</x:v>
      </x:c>
      <x:c r="C8" s="48" t="n">
        <x:f>'Assumptions'!$B$6</x:f>
        <x:v>0.02</x:v>
      </x:c>
      <x:c r="D8" s="48" t="n">
        <x:f>'Assumptions'!$B$7</x:f>
        <x:v>0.018</x:v>
      </x:c>
      <x:c r="E8" s="48" t="n">
        <x:f>'Assumptions'!$B$8</x:f>
        <x:v>0.007</x:v>
      </x:c>
      <x:c r="F8" s="48" t="n">
        <x:f>'Assumptions'!$B$9</x:f>
        <x:v>0.005</x:v>
      </x:c>
      <x:c r="G8" s="50" t="n">
        <x:f>'Assumptions'!$B$10</x:f>
        <x:v>1</x:v>
      </x:c>
      <x:c r="H8" s="50" t="n">
        <x:f>'Assumptions'!$B$11</x:f>
        <x:v>5</x:v>
      </x:c>
      <x:c r="I8" s="48" t="n">
        <x:f>'Assumptions'!$B$12</x:f>
        <x:v>0.005</x:v>
      </x:c>
      <x:c r="J8" s="48" t="n">
        <x:f>'Assumptions'!$B$13</x:f>
        <x:v>0.001</x:v>
      </x:c>
      <x:c r="K8" s="50" t="n">
        <x:f>'Assumptions'!$B$14</x:f>
        <x:v>20</x:v>
      </x:c>
      <x:c r="L8" s="50" t="n">
        <x:f>'Assumptions'!$B$15</x:f>
        <x:v>0.01</x:v>
      </x:c>
      <x:c r="M8" s="26" t="n">
        <x:v>1</x:v>
      </x:c>
      <x:c r="N8" s="50" t="n">
        <x:f>'Assumptions'!$B$17</x:f>
        <x:v>0.55</x:v>
      </x:c>
      <x:c r="O8" s="50" t="n">
        <x:f>'Assumptions'!$B$18</x:f>
        <x:v>0.95</x:v>
      </x:c>
      <x:c r="P8" s="50" t="n">
        <x:f>'Assumptions'!$B$19</x:f>
        <x:v>30</x:v>
      </x:c>
      <x:c r="Q8" s="48" t="n">
        <x:f>'Assumptions'!$B$20</x:f>
        <x:v>0.7</x:v>
      </x:c>
      <x:c r="R8" s="48" t="n">
        <x:f>'Assumptions'!$B$21</x:f>
        <x:v>0.15</x:v>
      </x:c>
      <x:c r="S8" s="48" t="n">
        <x:f>'Assumptions'!$B$22</x:f>
        <x:v>0.65</x:v>
      </x:c>
      <x:c r="T8" s="48" t="n">
        <x:f>'Assumptions'!$B$23</x:f>
        <x:v>0.6</x:v>
      </x:c>
      <x:c r="U8" s="50" t="n">
        <x:f>'Assumptions'!$B$24</x:f>
        <x:v>365.25</x:v>
      </x:c>
      <x:c r="V8" s="50" t="n">
        <x:f>'Assumptions'!$B$25</x:f>
        <x:v>7</x:v>
      </x:c>
      <x:c r="W8" s="50" t="n">
        <x:f>'Assumptions'!$B$26</x:f>
        <x:v>12</x:v>
      </x:c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34" customHeight="1">
      <x:c r="A9" s="30" t="str">
        <x:v>All annual, full use</x:v>
      </x:c>
      <x:c r="B9" s="48" t="n">
        <x:f>'Assumptions'!$B$5</x:f>
        <x:v>0.21</x:v>
      </x:c>
      <x:c r="C9" s="48" t="n">
        <x:f>'Assumptions'!$B$6</x:f>
        <x:v>0.02</x:v>
      </x:c>
      <x:c r="D9" s="48" t="n">
        <x:f>'Assumptions'!$B$7</x:f>
        <x:v>0.018</x:v>
      </x:c>
      <x:c r="E9" s="48" t="n">
        <x:f>'Assumptions'!$B$8</x:f>
        <x:v>0.007</x:v>
      </x:c>
      <x:c r="F9" s="48" t="n">
        <x:f>'Assumptions'!$B$9</x:f>
        <x:v>0.005</x:v>
      </x:c>
      <x:c r="G9" s="50" t="n">
        <x:f>'Assumptions'!$B$10</x:f>
        <x:v>1</x:v>
      </x:c>
      <x:c r="H9" s="50" t="n">
        <x:f>'Assumptions'!$B$11</x:f>
        <x:v>5</x:v>
      </x:c>
      <x:c r="I9" s="48" t="n">
        <x:f>'Assumptions'!$B$12</x:f>
        <x:v>0.005</x:v>
      </x:c>
      <x:c r="J9" s="48" t="n">
        <x:f>'Assumptions'!$B$13</x:f>
        <x:v>0.001</x:v>
      </x:c>
      <x:c r="K9" s="50" t="n">
        <x:f>'Assumptions'!$B$14</x:f>
        <x:v>20</x:v>
      </x:c>
      <x:c r="L9" s="50" t="n">
        <x:f>'Assumptions'!$B$15</x:f>
        <x:v>0.01</x:v>
      </x:c>
      <x:c r="M9" s="26" t="n">
        <x:v>1</x:v>
      </x:c>
      <x:c r="N9" s="50" t="n">
        <x:f>'Assumptions'!$B$17</x:f>
        <x:v>0.55</x:v>
      </x:c>
      <x:c r="O9" s="50" t="n">
        <x:f>'Assumptions'!$B$18</x:f>
        <x:v>0.95</x:v>
      </x:c>
      <x:c r="P9" s="50" t="n">
        <x:f>'Assumptions'!$B$19</x:f>
        <x:v>30</x:v>
      </x:c>
      <x:c r="Q9" s="48" t="n">
        <x:f>'Assumptions'!$B$20</x:f>
        <x:v>0.7</x:v>
      </x:c>
      <x:c r="R9" s="26" t="n">
        <x:v>0</x:v>
      </x:c>
      <x:c r="S9" s="26" t="n">
        <x:v>0</x:v>
      </x:c>
      <x:c r="T9" s="48" t="n">
        <x:f>'Assumptions'!$B$23</x:f>
        <x:v>0.6</x:v>
      </x:c>
      <x:c r="U9" s="50" t="n">
        <x:f>'Assumptions'!$B$24</x:f>
        <x:v>365.25</x:v>
      </x:c>
      <x:c r="V9" s="50" t="n">
        <x:f>'Assumptions'!$B$25</x:f>
        <x:v>7</x:v>
      </x:c>
      <x:c r="W9" s="50" t="n">
        <x:f>'Assumptions'!$B$26</x:f>
        <x:v>12</x:v>
      </x:c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34" customHeight="1">
      <x:c r="A10" s="30" t="str">
        <x:v>All Starter annual, full use</x:v>
      </x:c>
      <x:c r="B10" s="48" t="n">
        <x:f>'Assumptions'!$B$5</x:f>
        <x:v>0.21</x:v>
      </x:c>
      <x:c r="C10" s="48" t="n">
        <x:f>'Assumptions'!$B$6</x:f>
        <x:v>0.02</x:v>
      </x:c>
      <x:c r="D10" s="48" t="n">
        <x:f>'Assumptions'!$B$7</x:f>
        <x:v>0.018</x:v>
      </x:c>
      <x:c r="E10" s="48" t="n">
        <x:f>'Assumptions'!$B$8</x:f>
        <x:v>0.007</x:v>
      </x:c>
      <x:c r="F10" s="48" t="n">
        <x:f>'Assumptions'!$B$9</x:f>
        <x:v>0.005</x:v>
      </x:c>
      <x:c r="G10" s="50" t="n">
        <x:f>'Assumptions'!$B$10</x:f>
        <x:v>1</x:v>
      </x:c>
      <x:c r="H10" s="50" t="n">
        <x:f>'Assumptions'!$B$11</x:f>
        <x:v>5</x:v>
      </x:c>
      <x:c r="I10" s="48" t="n">
        <x:f>'Assumptions'!$B$12</x:f>
        <x:v>0.005</x:v>
      </x:c>
      <x:c r="J10" s="48" t="n">
        <x:f>'Assumptions'!$B$13</x:f>
        <x:v>0.001</x:v>
      </x:c>
      <x:c r="K10" s="50" t="n">
        <x:f>'Assumptions'!$B$14</x:f>
        <x:v>20</x:v>
      </x:c>
      <x:c r="L10" s="50" t="n">
        <x:f>'Assumptions'!$B$15</x:f>
        <x:v>0.01</x:v>
      </x:c>
      <x:c r="M10" s="26" t="n">
        <x:v>1</x:v>
      </x:c>
      <x:c r="N10" s="50" t="n">
        <x:f>'Assumptions'!$B$17</x:f>
        <x:v>0.55</x:v>
      </x:c>
      <x:c r="O10" s="50" t="n">
        <x:f>'Assumptions'!$B$18</x:f>
        <x:v>0.95</x:v>
      </x:c>
      <x:c r="P10" s="50" t="n">
        <x:f>'Assumptions'!$B$19</x:f>
        <x:v>30</x:v>
      </x:c>
      <x:c r="Q10" s="26" t="n">
        <x:v>1</x:v>
      </x:c>
      <x:c r="R10" s="26" t="n">
        <x:v>0</x:v>
      </x:c>
      <x:c r="S10" s="26" t="n">
        <x:v>0</x:v>
      </x:c>
      <x:c r="T10" s="48" t="n">
        <x:f>'Assumptions'!$B$23</x:f>
        <x:v>0.6</x:v>
      </x:c>
      <x:c r="U10" s="50" t="n">
        <x:f>'Assumptions'!$B$24</x:f>
        <x:v>365.25</x:v>
      </x:c>
      <x:c r="V10" s="50" t="n">
        <x:f>'Assumptions'!$B$25</x:f>
        <x:v>7</x:v>
      </x:c>
      <x:c r="W10" s="50" t="n">
        <x:f>'Assumptions'!$B$26</x:f>
        <x:v>12</x:v>
      </x:c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34" customHeight="1">
      <x:c r="A11" s="30" t="str">
        <x:v>Exemption scenario</x:v>
      </x:c>
      <x:c r="B11" s="26" t="n">
        <x:v>0</x:v>
      </x:c>
      <x:c r="C11" s="48" t="n">
        <x:f>'Assumptions'!$B$6</x:f>
        <x:v>0.02</x:v>
      </x:c>
      <x:c r="D11" s="48" t="n">
        <x:f>'Assumptions'!$B$7</x:f>
        <x:v>0.018</x:v>
      </x:c>
      <x:c r="E11" s="48" t="n">
        <x:f>'Assumptions'!$B$8</x:f>
        <x:v>0.007</x:v>
      </x:c>
      <x:c r="F11" s="26" t="n">
        <x:v>0</x:v>
      </x:c>
      <x:c r="G11" s="50" t="n">
        <x:f>'Assumptions'!$B$10</x:f>
        <x:v>1</x:v>
      </x:c>
      <x:c r="H11" s="50" t="n">
        <x:f>'Assumptions'!$B$11</x:f>
        <x:v>5</x:v>
      </x:c>
      <x:c r="I11" s="48" t="n">
        <x:f>'Assumptions'!$B$12</x:f>
        <x:v>0.005</x:v>
      </x:c>
      <x:c r="J11" s="48" t="n">
        <x:f>'Assumptions'!$B$13</x:f>
        <x:v>0.001</x:v>
      </x:c>
      <x:c r="K11" s="50" t="n">
        <x:f>'Assumptions'!$B$14</x:f>
        <x:v>20</x:v>
      </x:c>
      <x:c r="L11" s="50" t="n">
        <x:f>'Assumptions'!$B$15</x:f>
        <x:v>0.01</x:v>
      </x:c>
      <x:c r="M11" s="48" t="n">
        <x:f>'Assumptions'!$B$16</x:f>
        <x:v>0.6</x:v>
      </x:c>
      <x:c r="N11" s="50" t="n">
        <x:f>'Assumptions'!$B$17</x:f>
        <x:v>0.55</x:v>
      </x:c>
      <x:c r="O11" s="50" t="n">
        <x:f>'Assumptions'!$B$18</x:f>
        <x:v>0.95</x:v>
      </x:c>
      <x:c r="P11" s="50" t="n">
        <x:f>'Assumptions'!$B$19</x:f>
        <x:v>30</x:v>
      </x:c>
      <x:c r="Q11" s="48" t="n">
        <x:f>'Assumptions'!$B$20</x:f>
        <x:v>0.7</x:v>
      </x:c>
      <x:c r="R11" s="48" t="n">
        <x:f>'Assumptions'!$B$21</x:f>
        <x:v>0.15</x:v>
      </x:c>
      <x:c r="S11" s="48" t="n">
        <x:f>'Assumptions'!$B$22</x:f>
        <x:v>0.65</x:v>
      </x:c>
      <x:c r="T11" s="48" t="n">
        <x:f>'Assumptions'!$B$23</x:f>
        <x:v>0.6</x:v>
      </x:c>
      <x:c r="U11" s="50" t="n">
        <x:f>'Assumptions'!$B$24</x:f>
        <x:v>365.25</x:v>
      </x:c>
      <x:c r="V11" s="50" t="n">
        <x:f>'Assumptions'!$B$25</x:f>
        <x:v>7</x:v>
      </x:c>
      <x:c r="W11" s="50" t="n">
        <x:f>'Assumptions'!$B$26</x:f>
        <x:v>12</x:v>
      </x:c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34" customHeight="1">
      <x:c r="A12" s="30" t="str">
        <x:v>Higher-tax stress</x:v>
      </x:c>
      <x:c r="B12" s="26" t="n">
        <x:v>0.27</x:v>
      </x:c>
      <x:c r="C12" s="48" t="n">
        <x:f>'Assumptions'!$B$6</x:f>
        <x:v>0.02</x:v>
      </x:c>
      <x:c r="D12" s="48" t="n">
        <x:f>'Assumptions'!$B$7</x:f>
        <x:v>0.018</x:v>
      </x:c>
      <x:c r="E12" s="48" t="n">
        <x:f>'Assumptions'!$B$8</x:f>
        <x:v>0.007</x:v>
      </x:c>
      <x:c r="F12" s="48" t="n">
        <x:f>'Assumptions'!$B$9</x:f>
        <x:v>0.005</x:v>
      </x:c>
      <x:c r="G12" s="50" t="n">
        <x:f>'Assumptions'!$B$10</x:f>
        <x:v>1</x:v>
      </x:c>
      <x:c r="H12" s="50" t="n">
        <x:f>'Assumptions'!$B$11</x:f>
        <x:v>5</x:v>
      </x:c>
      <x:c r="I12" s="48" t="n">
        <x:f>'Assumptions'!$B$12</x:f>
        <x:v>0.005</x:v>
      </x:c>
      <x:c r="J12" s="48" t="n">
        <x:f>'Assumptions'!$B$13</x:f>
        <x:v>0.001</x:v>
      </x:c>
      <x:c r="K12" s="50" t="n">
        <x:f>'Assumptions'!$B$14</x:f>
        <x:v>20</x:v>
      </x:c>
      <x:c r="L12" s="50" t="n">
        <x:f>'Assumptions'!$B$15</x:f>
        <x:v>0.01</x:v>
      </x:c>
      <x:c r="M12" s="26" t="n">
        <x:v>1</x:v>
      </x:c>
      <x:c r="N12" s="50" t="n">
        <x:f>'Assumptions'!$B$17</x:f>
        <x:v>0.55</x:v>
      </x:c>
      <x:c r="O12" s="50" t="n">
        <x:f>'Assumptions'!$B$18</x:f>
        <x:v>0.95</x:v>
      </x:c>
      <x:c r="P12" s="50" t="n">
        <x:f>'Assumptions'!$B$19</x:f>
        <x:v>30</x:v>
      </x:c>
      <x:c r="Q12" s="48" t="n">
        <x:f>'Assumptions'!$B$20</x:f>
        <x:v>0.7</x:v>
      </x:c>
      <x:c r="R12" s="48" t="n">
        <x:f>'Assumptions'!$B$21</x:f>
        <x:v>0.15</x:v>
      </x:c>
      <x:c r="S12" s="48" t="n">
        <x:f>'Assumptions'!$B$22</x:f>
        <x:v>0.65</x:v>
      </x:c>
      <x:c r="T12" s="48" t="n">
        <x:f>'Assumptions'!$B$23</x:f>
        <x:v>0.6</x:v>
      </x:c>
      <x:c r="U12" s="50" t="n">
        <x:f>'Assumptions'!$B$24</x:f>
        <x:v>365.25</x:v>
      </x:c>
      <x:c r="V12" s="50" t="n">
        <x:f>'Assumptions'!$B$25</x:f>
        <x:v>7</x:v>
      </x:c>
      <x:c r="W12" s="50" t="n">
        <x:f>'Assumptions'!$B$26</x:f>
        <x:v>12</x:v>
      </x:c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34" customHeight="1">
      <x:c r="A13" s="30" t="str">
        <x:v>High payment and service cost</x:v>
      </x:c>
      <x:c r="B13" s="48" t="n">
        <x:f>'Assumptions'!$B$5</x:f>
        <x:v>0.21</x:v>
      </x:c>
      <x:c r="C13" s="48" t="n">
        <x:f>'Assumptions'!$B$6</x:f>
        <x:v>0.02</x:v>
      </x:c>
      <x:c r="D13" s="26" t="n">
        <x:v>0.0315</x:v>
      </x:c>
      <x:c r="E13" s="48" t="n">
        <x:f>'Assumptions'!$B$8</x:f>
        <x:v>0.007</x:v>
      </x:c>
      <x:c r="F13" s="48" t="n">
        <x:f>'Assumptions'!$B$9</x:f>
        <x:v>0.005</x:v>
      </x:c>
      <x:c r="G13" s="50" t="n">
        <x:f>'Assumptions'!$B$10</x:f>
        <x:v>1</x:v>
      </x:c>
      <x:c r="H13" s="50" t="n">
        <x:f>'Assumptions'!$B$11</x:f>
        <x:v>5</x:v>
      </x:c>
      <x:c r="I13" s="26" t="n">
        <x:v>0.02</x:v>
      </x:c>
      <x:c r="J13" s="48" t="n">
        <x:f>'Assumptions'!$B$13</x:f>
        <x:v>0.001</x:v>
      </x:c>
      <x:c r="K13" s="50" t="n">
        <x:f>'Assumptions'!$B$14</x:f>
        <x:v>20</x:v>
      </x:c>
      <x:c r="L13" s="50" t="n">
        <x:f>'Assumptions'!$B$15</x:f>
        <x:v>0.01</x:v>
      </x:c>
      <x:c r="M13" s="26" t="n">
        <x:v>1</x:v>
      </x:c>
      <x:c r="N13" s="56" t="n">
        <x:v>1.55</x:v>
      </x:c>
      <x:c r="O13" s="56" t="n">
        <x:v>2.95</x:v>
      </x:c>
      <x:c r="P13" s="56" t="n">
        <x:v>80</x:v>
      </x:c>
      <x:c r="Q13" s="48" t="n">
        <x:f>'Assumptions'!$B$20</x:f>
        <x:v>0.7</x:v>
      </x:c>
      <x:c r="R13" s="48" t="n">
        <x:f>'Assumptions'!$B$21</x:f>
        <x:v>0.15</x:v>
      </x:c>
      <x:c r="S13" s="48" t="n">
        <x:f>'Assumptions'!$B$22</x:f>
        <x:v>0.65</x:v>
      </x:c>
      <x:c r="T13" s="48" t="n">
        <x:f>'Assumptions'!$B$23</x:f>
        <x:v>0.6</x:v>
      </x:c>
      <x:c r="U13" s="50" t="n">
        <x:f>'Assumptions'!$B$24</x:f>
        <x:v>365.25</x:v>
      </x:c>
      <x:c r="V13" s="50" t="n">
        <x:f>'Assumptions'!$B$25</x:f>
        <x:v>7</x:v>
      </x:c>
      <x:c r="W13" s="50" t="n">
        <x:f>'Assumptions'!$B$26</x:f>
        <x:v>12</x:v>
      </x:c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34" customHeight="1">
      <x:c r="A14" s="30" t="str">
        <x:v>Uncontrolled compute stress</x:v>
      </x:c>
      <x:c r="B14" s="48" t="n">
        <x:f>'Assumptions'!$B$5</x:f>
        <x:v>0.21</x:v>
      </x:c>
      <x:c r="C14" s="48" t="n">
        <x:f>'Assumptions'!$B$6</x:f>
        <x:v>0.02</x:v>
      </x:c>
      <x:c r="D14" s="48" t="n">
        <x:f>'Assumptions'!$B$7</x:f>
        <x:v>0.018</x:v>
      </x:c>
      <x:c r="E14" s="48" t="n">
        <x:f>'Assumptions'!$B$8</x:f>
        <x:v>0.007</x:v>
      </x:c>
      <x:c r="F14" s="48" t="n">
        <x:f>'Assumptions'!$B$9</x:f>
        <x:v>0.005</x:v>
      </x:c>
      <x:c r="G14" s="50" t="n">
        <x:f>'Assumptions'!$B$10</x:f>
        <x:v>1</x:v>
      </x:c>
      <x:c r="H14" s="50" t="n">
        <x:f>'Assumptions'!$B$11</x:f>
        <x:v>5</x:v>
      </x:c>
      <x:c r="I14" s="48" t="n">
        <x:f>'Assumptions'!$B$12</x:f>
        <x:v>0.005</x:v>
      </x:c>
      <x:c r="J14" s="48" t="n">
        <x:f>'Assumptions'!$B$13</x:f>
        <x:v>0.001</x:v>
      </x:c>
      <x:c r="K14" s="50" t="n">
        <x:f>'Assumptions'!$B$14</x:f>
        <x:v>20</x:v>
      </x:c>
      <x:c r="L14" s="56" t="n">
        <x:v>0.03</x:v>
      </x:c>
      <x:c r="M14" s="26" t="n">
        <x:v>1</x:v>
      </x:c>
      <x:c r="N14" s="50" t="n">
        <x:f>'Assumptions'!$B$17</x:f>
        <x:v>0.55</x:v>
      </x:c>
      <x:c r="O14" s="50" t="n">
        <x:f>'Assumptions'!$B$18</x:f>
        <x:v>0.95</x:v>
      </x:c>
      <x:c r="P14" s="50" t="n">
        <x:f>'Assumptions'!$B$19</x:f>
        <x:v>30</x:v>
      </x:c>
      <x:c r="Q14" s="48" t="n">
        <x:f>'Assumptions'!$B$20</x:f>
        <x:v>0.7</x:v>
      </x:c>
      <x:c r="R14" s="48" t="n">
        <x:f>'Assumptions'!$B$21</x:f>
        <x:v>0.15</x:v>
      </x:c>
      <x:c r="S14" s="48" t="n">
        <x:f>'Assumptions'!$B$22</x:f>
        <x:v>0.65</x:v>
      </x:c>
      <x:c r="T14" s="48" t="n">
        <x:f>'Assumptions'!$B$23</x:f>
        <x:v>0.6</x:v>
      </x:c>
      <x:c r="U14" s="50" t="n">
        <x:f>'Assumptions'!$B$24</x:f>
        <x:v>365.25</x:v>
      </x:c>
      <x:c r="V14" s="50" t="n">
        <x:f>'Assumptions'!$B$25</x:f>
        <x:v>7</x:v>
      </x:c>
      <x:c r="W14" s="50" t="n">
        <x:f>'Assumptions'!$B$26</x:f>
        <x:v>12</x:v>
      </x:c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W1"/>
    <x:mergeCell ref="A2:W2"/>
  </x:mergeCells>
  <x:pageMargins left="0.7" right="0.7" top="0.75" bottom="0.75" header="0.3" footer="0.3"/>
  <x:legacyDrawing xmlns:r="http://schemas.openxmlformats.org/officeDocument/2006/relationships" r:id="R5c7fa32ee9b1469d"/>
</x:worksheet>
</file>

<file path=xl/worksheets/sheet5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Scenario economics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Revenue excludes consumer VAT and expected refunds. EUR per active user-month unless stated. Costs exclude founder salary, marketing, development, and company tax.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Scenario</x:v>
      </x:c>
      <x:c r="B4" s="16" t="str">
        <x:v>Gross billings</x:v>
      </x:c>
      <x:c r="C4" s="16" t="str">
        <x:v>Net revenue</x:v>
      </x:c>
      <x:c r="D4" s="16" t="str">
        <x:v>Payments/month</x:v>
      </x:c>
      <x:c r="E4" s="16" t="str">
        <x:v>Credits/month</x:v>
      </x:c>
      <x:c r="F4" s="16" t="str">
        <x:v>Metered costs</x:v>
      </x:c>
      <x:c r="G4" s="16" t="str">
        <x:v>Service costs</x:v>
      </x:c>
      <x:c r="H4" s="16" t="str">
        <x:v>Percent fees</x:v>
      </x:c>
      <x:c r="I4" s="16" t="str">
        <x:v>Fixed fees</x:v>
      </x:c>
      <x:c r="J4" s="16" t="str">
        <x:v>FX reserve</x:v>
      </x:c>
      <x:c r="K4" s="16" t="str">
        <x:v>Dispute reserve</x:v>
      </x:c>
      <x:c r="L4" s="16" t="str">
        <x:v>Variable costs</x:v>
      </x:c>
      <x:c r="M4" s="16" t="str">
        <x:v>Contribution</x:v>
      </x:c>
      <x:c r="N4" s="16" t="str">
        <x:v>Fixed/month</x:v>
      </x:c>
      <x:c r="O4" s="16" t="str">
        <x:v>Break-even users</x:v>
      </x:c>
      <x:c r="P4" s="16" t="str">
        <x:v>Users at 60%</x:v>
      </x:c>
      <x:c r="Q4" s="16" t="str">
        <x:v>Margin ceiling</x:v>
      </x:c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34" customHeight="1">
      <x:c r="A5" s="30" t="str">
        <x:v>Base mixed intervals</x:v>
      </x:c>
      <x:c r="B5" s="44" t="n">
        <x:f>'Scenario inputs'!$Q$5*('Scenario inputs'!$R$5*'Catalogue'!$B$5*('Scenario inputs'!$U$5/'Scenario inputs'!$V$5/'Scenario inputs'!$W$5)+'Scenario inputs'!$S$5*'Catalogue'!$C$5+(1-'Scenario inputs'!$R$5-'Scenario inputs'!$S$5)*'Catalogue'!$D$5/'Scenario inputs'!$W$5)+(1-'Scenario inputs'!$Q$5)*('Scenario inputs'!$R$5*'Catalogue'!$B$6*('Scenario inputs'!$U$5/'Scenario inputs'!$V$5/'Scenario inputs'!$W$5)+'Scenario inputs'!$S$5*'Catalogue'!$C$6+(1-'Scenario inputs'!$R$5-'Scenario inputs'!$S$5)*'Catalogue'!$D$6/'Scenario inputs'!$W$5)</x:f>
        <x:v>25.49755505952381</x:v>
      </x:c>
      <x:c r="C5" s="44" t="n">
        <x:f>B5*(1-'Scenario inputs'!$C$5)/(1+'Scenario inputs'!$B$5)</x:f>
        <x:v>20.650912362258953</x:v>
      </x:c>
      <x:c r="D5" s="50" t="n">
        <x:f>'Scenario inputs'!$R$5*('Scenario inputs'!$U$5/'Scenario inputs'!$V$5/'Scenario inputs'!$W$5)+'Scenario inputs'!$S$5+(1-'Scenario inputs'!$R$5-'Scenario inputs'!$S$5)/'Scenario inputs'!$W$5</x:f>
        <x:v>1.3188988095238094</x:v>
      </x:c>
      <x:c r="E5" s="50" t="n">
        <x:f>'Scenario inputs'!$Q$5*('Scenario inputs'!$R$5*'Catalogue'!$E$5*('Scenario inputs'!$U$5/'Scenario inputs'!$V$5/'Scenario inputs'!$W$5)+(1-'Scenario inputs'!$R$5)*'Catalogue'!$F$5)+(1-'Scenario inputs'!$Q$5)*('Scenario inputs'!$R$5*'Catalogue'!$E$6*('Scenario inputs'!$U$5/'Scenario inputs'!$V$5/'Scenario inputs'!$W$5)+(1-'Scenario inputs'!$R$5)*'Catalogue'!$F$6)</x:f>
        <x:v>360.7770089285715</x:v>
      </x:c>
      <x:c r="F5" s="44" t="n">
        <x:f>E5*'Scenario inputs'!$L$5*'Scenario inputs'!$M$5</x:f>
        <x:v>2.164662053571429</x:v>
      </x:c>
      <x:c r="G5" s="44" t="n">
        <x:f>'Scenario inputs'!$Q$5*'Scenario inputs'!$N$5+(1-'Scenario inputs'!$Q$5)*'Scenario inputs'!$O$5</x:f>
        <x:v>0.67</x:v>
      </x:c>
      <x:c r="H5" s="44" t="n">
        <x:f>B5*('Scenario inputs'!$D$5+'Scenario inputs'!$E$5+'Scenario inputs'!$F$5)</x:f>
        <x:v>0.7649266517857142</x:v>
      </x:c>
      <x:c r="I5" s="44" t="n">
        <x:f>D5*'Scenario inputs'!$G$5/'Scenario inputs'!$H$5</x:f>
        <x:v>0.2637797619047619</x:v>
      </x:c>
      <x:c r="J5" s="44" t="n">
        <x:f>B5*'Scenario inputs'!$I$5</x:f>
        <x:v>0.12748777529761904</x:v>
      </x:c>
      <x:c r="K5" s="44" t="n">
        <x:f>D5*'Scenario inputs'!$J$5*'Scenario inputs'!$K$5</x:f>
        <x:v>0.02637797619047619</x:v>
      </x:c>
      <x:c r="L5" s="58" t="n">
        <x:f>SUM(F5:K5)</x:f>
        <x:v>4.0172342187500005</x:v>
      </x:c>
      <x:c r="M5" s="58" t="n">
        <x:f>C5-L5</x:f>
        <x:v>16.633678143508952</x:v>
      </x:c>
      <x:c r="N5" s="44" t="n">
        <x:f>'Scenario inputs'!$P$5</x:f>
        <x:v>30</x:v>
      </x:c>
      <x:c r="O5" s="60" t="n">
        <x:f>IF(M5&lt;=0,"Not attainable",MAX(1,ROUNDUP(N5/M5,0)))</x:f>
        <x:v>2</x:v>
      </x:c>
      <x:c r="P5" s="61" t="n">
        <x:f>IF(C5*(1-'Scenario inputs'!$T$5)-L5&lt;=0,"Not attainable",MAX(1,ROUNDUP(N5/(C5*(1-'Scenario inputs'!$T$5)-L5),0)))</x:f>
        <x:v>8</x:v>
      </x:c>
      <x:c r="Q5" s="64" t="n">
        <x:f>IF(C5=0,"Not defined",M5/C5)</x:f>
        <x:v>0.805469407439267</x:v>
      </x:c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34" customHeight="1">
      <x:c r="A6" s="30" t="str">
        <x:v>Lean budget host</x:v>
      </x:c>
      <x:c r="B6" s="44" t="n">
        <x:f>'Scenario inputs'!$Q$6*('Scenario inputs'!$R$6*'Catalogue'!$B$5*('Scenario inputs'!$U$6/'Scenario inputs'!$V$6/'Scenario inputs'!$W$6)+'Scenario inputs'!$S$6*'Catalogue'!$C$5+(1-'Scenario inputs'!$R$6-'Scenario inputs'!$S$6)*'Catalogue'!$D$5/'Scenario inputs'!$W$6)+(1-'Scenario inputs'!$Q$6)*('Scenario inputs'!$R$6*'Catalogue'!$B$6*('Scenario inputs'!$U$6/'Scenario inputs'!$V$6/'Scenario inputs'!$W$6)+'Scenario inputs'!$S$6*'Catalogue'!$C$6+(1-'Scenario inputs'!$R$6-'Scenario inputs'!$S$6)*'Catalogue'!$D$6/'Scenario inputs'!$W$6)</x:f>
        <x:v>25.49755505952381</x:v>
      </x:c>
      <x:c r="C6" s="44" t="n">
        <x:f>B6*(1-'Scenario inputs'!$C$6)/(1+'Scenario inputs'!$B$6)</x:f>
        <x:v>20.650912362258953</x:v>
      </x:c>
      <x:c r="D6" s="50" t="n">
        <x:f>'Scenario inputs'!$R$6*('Scenario inputs'!$U$6/'Scenario inputs'!$V$6/'Scenario inputs'!$W$6)+'Scenario inputs'!$S$6+(1-'Scenario inputs'!$R$6-'Scenario inputs'!$S$6)/'Scenario inputs'!$W$6</x:f>
        <x:v>1.3188988095238094</x:v>
      </x:c>
      <x:c r="E6" s="50" t="n">
        <x:f>'Scenario inputs'!$Q$6*('Scenario inputs'!$R$6*'Catalogue'!$E$5*('Scenario inputs'!$U$6/'Scenario inputs'!$V$6/'Scenario inputs'!$W$6)+(1-'Scenario inputs'!$R$6)*'Catalogue'!$F$5)+(1-'Scenario inputs'!$Q$6)*('Scenario inputs'!$R$6*'Catalogue'!$E$6*('Scenario inputs'!$U$6/'Scenario inputs'!$V$6/'Scenario inputs'!$W$6)+(1-'Scenario inputs'!$R$6)*'Catalogue'!$F$6)</x:f>
        <x:v>360.7770089285715</x:v>
      </x:c>
      <x:c r="F6" s="44" t="n">
        <x:f>E6*'Scenario inputs'!$L$6*'Scenario inputs'!$M$6</x:f>
        <x:v>2.164662053571429</x:v>
      </x:c>
      <x:c r="G6" s="44" t="n">
        <x:f>'Scenario inputs'!$Q$6*'Scenario inputs'!$N$6+(1-'Scenario inputs'!$Q$6)*'Scenario inputs'!$O$6</x:f>
        <x:v>0.67</x:v>
      </x:c>
      <x:c r="H6" s="44" t="n">
        <x:f>B6*('Scenario inputs'!$D$6+'Scenario inputs'!$E$6+'Scenario inputs'!$F$6)</x:f>
        <x:v>0.7649266517857142</x:v>
      </x:c>
      <x:c r="I6" s="44" t="n">
        <x:f>D6*'Scenario inputs'!$G$6/'Scenario inputs'!$H$6</x:f>
        <x:v>0.2637797619047619</x:v>
      </x:c>
      <x:c r="J6" s="44" t="n">
        <x:f>B6*'Scenario inputs'!$I$6</x:f>
        <x:v>0.12748777529761904</x:v>
      </x:c>
      <x:c r="K6" s="44" t="n">
        <x:f>D6*'Scenario inputs'!$J$6*'Scenario inputs'!$K$6</x:f>
        <x:v>0.02637797619047619</x:v>
      </x:c>
      <x:c r="L6" s="58" t="n">
        <x:f>SUM(F6:K6)</x:f>
        <x:v>4.0172342187500005</x:v>
      </x:c>
      <x:c r="M6" s="58" t="n">
        <x:f>C6-L6</x:f>
        <x:v>16.633678143508952</x:v>
      </x:c>
      <x:c r="N6" s="44" t="n">
        <x:f>'Scenario inputs'!$P$6</x:f>
        <x:v>8</x:v>
      </x:c>
      <x:c r="O6" s="60" t="n">
        <x:f>IF(M6&lt;=0,"Not attainable",MAX(1,ROUNDUP(N6/M6,0)))</x:f>
        <x:v>1</x:v>
      </x:c>
      <x:c r="P6" s="61" t="n">
        <x:f>IF(C6*(1-'Scenario inputs'!$T$6)-L6&lt;=0,"Not attainable",MAX(1,ROUNDUP(N6/(C6*(1-'Scenario inputs'!$T$6)-L6),0)))</x:f>
        <x:v>2</x:v>
      </x:c>
      <x:c r="Q6" s="64" t="n">
        <x:f>IF(C6=0,"Not defined",M6/C6)</x:f>
        <x:v>0.805469407439267</x:v>
      </x:c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34" customHeight="1">
      <x:c r="A7" s="30" t="str">
        <x:v>Growing operations</x:v>
      </x:c>
      <x:c r="B7" s="44" t="n">
        <x:f>'Scenario inputs'!$Q$7*('Scenario inputs'!$R$7*'Catalogue'!$B$5*('Scenario inputs'!$U$7/'Scenario inputs'!$V$7/'Scenario inputs'!$W$7)+'Scenario inputs'!$S$7*'Catalogue'!$C$5+(1-'Scenario inputs'!$R$7-'Scenario inputs'!$S$7)*'Catalogue'!$D$5/'Scenario inputs'!$W$7)+(1-'Scenario inputs'!$Q$7)*('Scenario inputs'!$R$7*'Catalogue'!$B$6*('Scenario inputs'!$U$7/'Scenario inputs'!$V$7/'Scenario inputs'!$W$7)+'Scenario inputs'!$S$7*'Catalogue'!$C$6+(1-'Scenario inputs'!$R$7-'Scenario inputs'!$S$7)*'Catalogue'!$D$6/'Scenario inputs'!$W$7)</x:f>
        <x:v>25.49755505952381</x:v>
      </x:c>
      <x:c r="C7" s="44" t="n">
        <x:f>B7*(1-'Scenario inputs'!$C$7)/(1+'Scenario inputs'!$B$7)</x:f>
        <x:v>20.650912362258953</x:v>
      </x:c>
      <x:c r="D7" s="50" t="n">
        <x:f>'Scenario inputs'!$R$7*('Scenario inputs'!$U$7/'Scenario inputs'!$V$7/'Scenario inputs'!$W$7)+'Scenario inputs'!$S$7+(1-'Scenario inputs'!$R$7-'Scenario inputs'!$S$7)/'Scenario inputs'!$W$7</x:f>
        <x:v>1.3188988095238094</x:v>
      </x:c>
      <x:c r="E7" s="50" t="n">
        <x:f>'Scenario inputs'!$Q$7*('Scenario inputs'!$R$7*'Catalogue'!$E$5*('Scenario inputs'!$U$7/'Scenario inputs'!$V$7/'Scenario inputs'!$W$7)+(1-'Scenario inputs'!$R$7)*'Catalogue'!$F$5)+(1-'Scenario inputs'!$Q$7)*('Scenario inputs'!$R$7*'Catalogue'!$E$6*('Scenario inputs'!$U$7/'Scenario inputs'!$V$7/'Scenario inputs'!$W$7)+(1-'Scenario inputs'!$R$7)*'Catalogue'!$F$6)</x:f>
        <x:v>360.7770089285715</x:v>
      </x:c>
      <x:c r="F7" s="44" t="n">
        <x:f>E7*'Scenario inputs'!$L$7*'Scenario inputs'!$M$7</x:f>
        <x:v>2.164662053571429</x:v>
      </x:c>
      <x:c r="G7" s="44" t="n">
        <x:f>'Scenario inputs'!$Q$7*'Scenario inputs'!$N$7+(1-'Scenario inputs'!$Q$7)*'Scenario inputs'!$O$7</x:f>
        <x:v>0.67</x:v>
      </x:c>
      <x:c r="H7" s="44" t="n">
        <x:f>B7*('Scenario inputs'!$D$7+'Scenario inputs'!$E$7+'Scenario inputs'!$F$7)</x:f>
        <x:v>0.7649266517857142</x:v>
      </x:c>
      <x:c r="I7" s="44" t="n">
        <x:f>D7*'Scenario inputs'!$G$7/'Scenario inputs'!$H$7</x:f>
        <x:v>0.2637797619047619</x:v>
      </x:c>
      <x:c r="J7" s="44" t="n">
        <x:f>B7*'Scenario inputs'!$I$7</x:f>
        <x:v>0.12748777529761904</x:v>
      </x:c>
      <x:c r="K7" s="44" t="n">
        <x:f>D7*'Scenario inputs'!$J$7*'Scenario inputs'!$K$7</x:f>
        <x:v>0.02637797619047619</x:v>
      </x:c>
      <x:c r="L7" s="58" t="n">
        <x:f>SUM(F7:K7)</x:f>
        <x:v>4.0172342187500005</x:v>
      </x:c>
      <x:c r="M7" s="58" t="n">
        <x:f>C7-L7</x:f>
        <x:v>16.633678143508952</x:v>
      </x:c>
      <x:c r="N7" s="44" t="n">
        <x:f>'Scenario inputs'!$P$7</x:f>
        <x:v>80</x:v>
      </x:c>
      <x:c r="O7" s="60" t="n">
        <x:f>IF(M7&lt;=0,"Not attainable",MAX(1,ROUNDUP(N7/M7,0)))</x:f>
        <x:v>5</x:v>
      </x:c>
      <x:c r="P7" s="61" t="n">
        <x:f>IF(C7*(1-'Scenario inputs'!$T$7)-L7&lt;=0,"Not attainable",MAX(1,ROUNDUP(N7/(C7*(1-'Scenario inputs'!$T$7)-L7),0)))</x:f>
        <x:v>19</x:v>
      </x:c>
      <x:c r="Q7" s="64" t="n">
        <x:f>IF(C7=0,"Not defined",M7/C7)</x:f>
        <x:v>0.805469407439267</x:v>
      </x:c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34" customHeight="1">
      <x:c r="A8" s="30" t="str">
        <x:v>Full allowance use</x:v>
      </x:c>
      <x:c r="B8" s="44" t="n">
        <x:f>'Scenario inputs'!$Q$8*('Scenario inputs'!$R$8*'Catalogue'!$B$5*('Scenario inputs'!$U$8/'Scenario inputs'!$V$8/'Scenario inputs'!$W$8)+'Scenario inputs'!$S$8*'Catalogue'!$C$5+(1-'Scenario inputs'!$R$8-'Scenario inputs'!$S$8)*'Catalogue'!$D$5/'Scenario inputs'!$W$8)+(1-'Scenario inputs'!$Q$8)*('Scenario inputs'!$R$8*'Catalogue'!$B$6*('Scenario inputs'!$U$8/'Scenario inputs'!$V$8/'Scenario inputs'!$W$8)+'Scenario inputs'!$S$8*'Catalogue'!$C$6+(1-'Scenario inputs'!$R$8-'Scenario inputs'!$S$8)*'Catalogue'!$D$6/'Scenario inputs'!$W$8)</x:f>
        <x:v>25.49755505952381</x:v>
      </x:c>
      <x:c r="C8" s="44" t="n">
        <x:f>B8*(1-'Scenario inputs'!$C$8)/(1+'Scenario inputs'!$B$8)</x:f>
        <x:v>20.650912362258953</x:v>
      </x:c>
      <x:c r="D8" s="50" t="n">
        <x:f>'Scenario inputs'!$R$8*('Scenario inputs'!$U$8/'Scenario inputs'!$V$8/'Scenario inputs'!$W$8)+'Scenario inputs'!$S$8+(1-'Scenario inputs'!$R$8-'Scenario inputs'!$S$8)/'Scenario inputs'!$W$8</x:f>
        <x:v>1.3188988095238094</x:v>
      </x:c>
      <x:c r="E8" s="50" t="n">
        <x:f>'Scenario inputs'!$Q$8*('Scenario inputs'!$R$8*'Catalogue'!$E$5*('Scenario inputs'!$U$8/'Scenario inputs'!$V$8/'Scenario inputs'!$W$8)+(1-'Scenario inputs'!$R$8)*'Catalogue'!$F$5)+(1-'Scenario inputs'!$Q$8)*('Scenario inputs'!$R$8*'Catalogue'!$E$6*('Scenario inputs'!$U$8/'Scenario inputs'!$V$8/'Scenario inputs'!$W$8)+(1-'Scenario inputs'!$R$8)*'Catalogue'!$F$6)</x:f>
        <x:v>360.7770089285715</x:v>
      </x:c>
      <x:c r="F8" s="44" t="n">
        <x:f>E8*'Scenario inputs'!$L$8*'Scenario inputs'!$M$8</x:f>
        <x:v>3.607770089285715</x:v>
      </x:c>
      <x:c r="G8" s="44" t="n">
        <x:f>'Scenario inputs'!$Q$8*'Scenario inputs'!$N$8+(1-'Scenario inputs'!$Q$8)*'Scenario inputs'!$O$8</x:f>
        <x:v>0.67</x:v>
      </x:c>
      <x:c r="H8" s="44" t="n">
        <x:f>B8*('Scenario inputs'!$D$8+'Scenario inputs'!$E$8+'Scenario inputs'!$F$8)</x:f>
        <x:v>0.7649266517857142</x:v>
      </x:c>
      <x:c r="I8" s="44" t="n">
        <x:f>D8*'Scenario inputs'!$G$8/'Scenario inputs'!$H$8</x:f>
        <x:v>0.2637797619047619</x:v>
      </x:c>
      <x:c r="J8" s="44" t="n">
        <x:f>B8*'Scenario inputs'!$I$8</x:f>
        <x:v>0.12748777529761904</x:v>
      </x:c>
      <x:c r="K8" s="44" t="n">
        <x:f>D8*'Scenario inputs'!$J$8*'Scenario inputs'!$K$8</x:f>
        <x:v>0.02637797619047619</x:v>
      </x:c>
      <x:c r="L8" s="58" t="n">
        <x:f>SUM(F8:K8)</x:f>
        <x:v>5.460342254464287</x:v>
      </x:c>
      <x:c r="M8" s="58" t="n">
        <x:f>C8-L8</x:f>
        <x:v>15.190570107794667</x:v>
      </x:c>
      <x:c r="N8" s="44" t="n">
        <x:f>'Scenario inputs'!$P$8</x:f>
        <x:v>30</x:v>
      </x:c>
      <x:c r="O8" s="60" t="n">
        <x:f>IF(M8&lt;=0,"Not attainable",MAX(1,ROUNDUP(N8/M8,0)))</x:f>
        <x:v>2</x:v>
      </x:c>
      <x:c r="P8" s="61" t="n">
        <x:f>IF(C8*(1-'Scenario inputs'!$T$8)-L8&lt;=0,"Not attainable",MAX(1,ROUNDUP(N8/(C8*(1-'Scenario inputs'!$T$8)-L8),0)))</x:f>
        <x:v>11</x:v>
      </x:c>
      <x:c r="Q8" s="64" t="n">
        <x:f>IF(C8=0,"Not defined",M8/C8)</x:f>
        <x:v>0.7355883285600756</x:v>
      </x:c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34" customHeight="1">
      <x:c r="A9" s="30" t="str">
        <x:v>All annual, full use</x:v>
      </x:c>
      <x:c r="B9" s="44" t="n">
        <x:f>'Scenario inputs'!$Q$9*('Scenario inputs'!$R$9*'Catalogue'!$B$5*('Scenario inputs'!$U$9/'Scenario inputs'!$V$9/'Scenario inputs'!$W$9)+'Scenario inputs'!$S$9*'Catalogue'!$C$5+(1-'Scenario inputs'!$R$9-'Scenario inputs'!$S$9)*'Catalogue'!$D$5/'Scenario inputs'!$W$9)+(1-'Scenario inputs'!$Q$9)*('Scenario inputs'!$R$9*'Catalogue'!$B$6*('Scenario inputs'!$U$9/'Scenario inputs'!$V$9/'Scenario inputs'!$W$9)+'Scenario inputs'!$S$9*'Catalogue'!$C$6+(1-'Scenario inputs'!$R$9-'Scenario inputs'!$S$9)*'Catalogue'!$D$6/'Scenario inputs'!$W$9)</x:f>
        <x:v>20.833333333333336</x:v>
      </x:c>
      <x:c r="C9" s="44" t="n">
        <x:f>B9*(1-'Scenario inputs'!$C$9)/(1+'Scenario inputs'!$B$9)</x:f>
        <x:v>16.8732782369146</x:v>
      </x:c>
      <x:c r="D9" s="50" t="n">
        <x:f>'Scenario inputs'!$R$9*('Scenario inputs'!$U$9/'Scenario inputs'!$V$9/'Scenario inputs'!$W$9)+'Scenario inputs'!$S$9+(1-'Scenario inputs'!$R$9-'Scenario inputs'!$S$9)/'Scenario inputs'!$W$9</x:f>
        <x:v>0.08333333333333333</x:v>
      </x:c>
      <x:c r="E9" s="50" t="n">
        <x:f>'Scenario inputs'!$Q$9*('Scenario inputs'!$R$9*'Catalogue'!$E$5*('Scenario inputs'!$U$9/'Scenario inputs'!$V$9/'Scenario inputs'!$W$9)+(1-'Scenario inputs'!$R$9)*'Catalogue'!$F$5)+(1-'Scenario inputs'!$Q$9)*('Scenario inputs'!$R$9*'Catalogue'!$E$6*('Scenario inputs'!$U$9/'Scenario inputs'!$V$9/'Scenario inputs'!$W$9)+(1-'Scenario inputs'!$R$9)*'Catalogue'!$F$6)</x:f>
        <x:v>355</x:v>
      </x:c>
      <x:c r="F9" s="44" t="n">
        <x:f>E9*'Scenario inputs'!$L$9*'Scenario inputs'!$M$9</x:f>
        <x:v>3.5500000000000003</x:v>
      </x:c>
      <x:c r="G9" s="44" t="n">
        <x:f>'Scenario inputs'!$Q$9*'Scenario inputs'!$N$9+(1-'Scenario inputs'!$Q$9)*'Scenario inputs'!$O$9</x:f>
        <x:v>0.67</x:v>
      </x:c>
      <x:c r="H9" s="44" t="n">
        <x:f>B9*('Scenario inputs'!$D$9+'Scenario inputs'!$E$9+'Scenario inputs'!$F$9)</x:f>
        <x:v>0.625</x:v>
      </x:c>
      <x:c r="I9" s="44" t="n">
        <x:f>D9*'Scenario inputs'!$G$9/'Scenario inputs'!$H$9</x:f>
        <x:v>0.016666666666666666</x:v>
      </x:c>
      <x:c r="J9" s="44" t="n">
        <x:f>B9*'Scenario inputs'!$I$9</x:f>
        <x:v>0.10416666666666669</x:v>
      </x:c>
      <x:c r="K9" s="44" t="n">
        <x:f>D9*'Scenario inputs'!$J$9*'Scenario inputs'!$K$9</x:f>
        <x:v>0.0016666666666666666</x:v>
      </x:c>
      <x:c r="L9" s="58" t="n">
        <x:f>SUM(F9:K9)</x:f>
        <x:v>4.967500000000001</x:v>
      </x:c>
      <x:c r="M9" s="58" t="n">
        <x:f>C9-L9</x:f>
        <x:v>11.9057782369146</x:v>
      </x:c>
      <x:c r="N9" s="44" t="n">
        <x:f>'Scenario inputs'!$P$9</x:f>
        <x:v>30</x:v>
      </x:c>
      <x:c r="O9" s="60" t="n">
        <x:f>IF(M9&lt;=0,"Not attainable",MAX(1,ROUNDUP(N9/M9,0)))</x:f>
        <x:v>3</x:v>
      </x:c>
      <x:c r="P9" s="61" t="n">
        <x:f>IF(C9*(1-'Scenario inputs'!$T$9)-L9&lt;=0,"Not attainable",MAX(1,ROUNDUP(N9/(C9*(1-'Scenario inputs'!$T$9)-L9),0)))</x:f>
        <x:v>17</x:v>
      </x:c>
      <x:c r="Q9" s="64" t="n">
        <x:f>IF(C9=0,"Not defined",M9/C9)</x:f>
        <x:v>0.7055995918367346</x:v>
      </x:c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34" customHeight="1">
      <x:c r="A10" s="30" t="str">
        <x:v>All Starter annual, full use</x:v>
      </x:c>
      <x:c r="B10" s="44" t="n">
        <x:f>'Scenario inputs'!$Q$10*('Scenario inputs'!$R$10*'Catalogue'!$B$5*('Scenario inputs'!$U$10/'Scenario inputs'!$V$10/'Scenario inputs'!$W$10)+'Scenario inputs'!$S$10*'Catalogue'!$C$5+(1-'Scenario inputs'!$R$10-'Scenario inputs'!$S$10)*'Catalogue'!$D$5/'Scenario inputs'!$W$10)+(1-'Scenario inputs'!$Q$10)*('Scenario inputs'!$R$10*'Catalogue'!$B$6*('Scenario inputs'!$U$10/'Scenario inputs'!$V$10/'Scenario inputs'!$W$10)+'Scenario inputs'!$S$10*'Catalogue'!$C$6+(1-'Scenario inputs'!$R$10-'Scenario inputs'!$S$10)*'Catalogue'!$D$6/'Scenario inputs'!$W$10)</x:f>
        <x:v>15.833333333333334</x:v>
      </x:c>
      <x:c r="C10" s="44" t="n">
        <x:f>B10*(1-'Scenario inputs'!$C$10)/(1+'Scenario inputs'!$B$10)</x:f>
        <x:v>12.823691460055098</x:v>
      </x:c>
      <x:c r="D10" s="50" t="n">
        <x:f>'Scenario inputs'!$R$10*('Scenario inputs'!$U$10/'Scenario inputs'!$V$10/'Scenario inputs'!$W$10)+'Scenario inputs'!$S$10+(1-'Scenario inputs'!$R$10-'Scenario inputs'!$S$10)/'Scenario inputs'!$W$10</x:f>
        <x:v>0.08333333333333333</x:v>
      </x:c>
      <x:c r="E10" s="50" t="n">
        <x:f>'Scenario inputs'!$Q$10*('Scenario inputs'!$R$10*'Catalogue'!$E$5*('Scenario inputs'!$U$10/'Scenario inputs'!$V$10/'Scenario inputs'!$W$10)+(1-'Scenario inputs'!$R$10)*'Catalogue'!$F$5)+(1-'Scenario inputs'!$Q$10)*('Scenario inputs'!$R$10*'Catalogue'!$E$6*('Scenario inputs'!$U$10/'Scenario inputs'!$V$10/'Scenario inputs'!$W$10)+(1-'Scenario inputs'!$R$10)*'Catalogue'!$F$6)</x:f>
        <x:v>250</x:v>
      </x:c>
      <x:c r="F10" s="44" t="n">
        <x:f>E10*'Scenario inputs'!$L$10*'Scenario inputs'!$M$10</x:f>
        <x:v>2.5</x:v>
      </x:c>
      <x:c r="G10" s="44" t="n">
        <x:f>'Scenario inputs'!$Q$10*'Scenario inputs'!$N$10+(1-'Scenario inputs'!$Q$10)*'Scenario inputs'!$O$10</x:f>
        <x:v>0.55</x:v>
      </x:c>
      <x:c r="H10" s="44" t="n">
        <x:f>B10*('Scenario inputs'!$D$10+'Scenario inputs'!$E$10+'Scenario inputs'!$F$10)</x:f>
        <x:v>0.475</x:v>
      </x:c>
      <x:c r="I10" s="44" t="n">
        <x:f>D10*'Scenario inputs'!$G$10/'Scenario inputs'!$H$10</x:f>
        <x:v>0.016666666666666666</x:v>
      </x:c>
      <x:c r="J10" s="44" t="n">
        <x:f>B10*'Scenario inputs'!$I$10</x:f>
        <x:v>0.07916666666666668</x:v>
      </x:c>
      <x:c r="K10" s="44" t="n">
        <x:f>D10*'Scenario inputs'!$J$10*'Scenario inputs'!$K$10</x:f>
        <x:v>0.0016666666666666666</x:v>
      </x:c>
      <x:c r="L10" s="58" t="n">
        <x:f>SUM(F10:K10)</x:f>
        <x:v>3.6224999999999996</x:v>
      </x:c>
      <x:c r="M10" s="58" t="n">
        <x:f>C10-L10</x:f>
        <x:v>9.2011914600551</x:v>
      </x:c>
      <x:c r="N10" s="44" t="n">
        <x:f>'Scenario inputs'!$P$10</x:f>
        <x:v>30</x:v>
      </x:c>
      <x:c r="O10" s="60" t="n">
        <x:f>IF(M10&lt;=0,"Not attainable",MAX(1,ROUNDUP(N10/M10,0)))</x:f>
        <x:v>4</x:v>
      </x:c>
      <x:c r="P10" s="61" t="n">
        <x:f>IF(C10*(1-'Scenario inputs'!$T$10)-L10&lt;=0,"Not attainable",MAX(1,ROUNDUP(N10/(C10*(1-'Scenario inputs'!$T$10)-L10),0)))</x:f>
        <x:v>20</x:v>
      </x:c>
      <x:c r="Q10" s="64" t="n">
        <x:f>IF(C10=0,"Not defined",M10/C10)</x:f>
        <x:v>0.717515037593985</x:v>
      </x:c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34" customHeight="1">
      <x:c r="A11" s="30" t="str">
        <x:v>Exemption scenario</x:v>
      </x:c>
      <x:c r="B11" s="44" t="n">
        <x:f>'Scenario inputs'!$Q$11*('Scenario inputs'!$R$11*'Catalogue'!$B$5*('Scenario inputs'!$U$11/'Scenario inputs'!$V$11/'Scenario inputs'!$W$11)+'Scenario inputs'!$S$11*'Catalogue'!$C$5+(1-'Scenario inputs'!$R$11-'Scenario inputs'!$S$11)*'Catalogue'!$D$5/'Scenario inputs'!$W$11)+(1-'Scenario inputs'!$Q$11)*('Scenario inputs'!$R$11*'Catalogue'!$B$6*('Scenario inputs'!$U$11/'Scenario inputs'!$V$11/'Scenario inputs'!$W$11)+'Scenario inputs'!$S$11*'Catalogue'!$C$6+(1-'Scenario inputs'!$R$11-'Scenario inputs'!$S$11)*'Catalogue'!$D$6/'Scenario inputs'!$W$11)</x:f>
        <x:v>25.49755505952381</x:v>
      </x:c>
      <x:c r="C11" s="44" t="n">
        <x:f>B11*(1-'Scenario inputs'!$C$11)/(1+'Scenario inputs'!$B$11)</x:f>
        <x:v>24.98760395833333</x:v>
      </x:c>
      <x:c r="D11" s="50" t="n">
        <x:f>'Scenario inputs'!$R$11*('Scenario inputs'!$U$11/'Scenario inputs'!$V$11/'Scenario inputs'!$W$11)+'Scenario inputs'!$S$11+(1-'Scenario inputs'!$R$11-'Scenario inputs'!$S$11)/'Scenario inputs'!$W$11</x:f>
        <x:v>1.3188988095238094</x:v>
      </x:c>
      <x:c r="E11" s="50" t="n">
        <x:f>'Scenario inputs'!$Q$11*('Scenario inputs'!$R$11*'Catalogue'!$E$5*('Scenario inputs'!$U$11/'Scenario inputs'!$V$11/'Scenario inputs'!$W$11)+(1-'Scenario inputs'!$R$11)*'Catalogue'!$F$5)+(1-'Scenario inputs'!$Q$11)*('Scenario inputs'!$R$11*'Catalogue'!$E$6*('Scenario inputs'!$U$11/'Scenario inputs'!$V$11/'Scenario inputs'!$W$11)+(1-'Scenario inputs'!$R$11)*'Catalogue'!$F$6)</x:f>
        <x:v>360.7770089285715</x:v>
      </x:c>
      <x:c r="F11" s="44" t="n">
        <x:f>E11*'Scenario inputs'!$L$11*'Scenario inputs'!$M$11</x:f>
        <x:v>2.164662053571429</x:v>
      </x:c>
      <x:c r="G11" s="44" t="n">
        <x:f>'Scenario inputs'!$Q$11*'Scenario inputs'!$N$11+(1-'Scenario inputs'!$Q$11)*'Scenario inputs'!$O$11</x:f>
        <x:v>0.67</x:v>
      </x:c>
      <x:c r="H11" s="44" t="n">
        <x:f>B11*('Scenario inputs'!$D$11+'Scenario inputs'!$E$11+'Scenario inputs'!$F$11)</x:f>
        <x:v>0.6374388764880952</x:v>
      </x:c>
      <x:c r="I11" s="44" t="n">
        <x:f>D11*'Scenario inputs'!$G$11/'Scenario inputs'!$H$11</x:f>
        <x:v>0.2637797619047619</x:v>
      </x:c>
      <x:c r="J11" s="44" t="n">
        <x:f>B11*'Scenario inputs'!$I$11</x:f>
        <x:v>0.12748777529761904</x:v>
      </x:c>
      <x:c r="K11" s="44" t="n">
        <x:f>D11*'Scenario inputs'!$J$11*'Scenario inputs'!$K$11</x:f>
        <x:v>0.02637797619047619</x:v>
      </x:c>
      <x:c r="L11" s="58" t="n">
        <x:f>SUM(F11:K11)</x:f>
        <x:v>3.8897464434523807</x:v>
      </x:c>
      <x:c r="M11" s="58" t="n">
        <x:f>C11-L11</x:f>
        <x:v>21.09785751488095</x:v>
      </x:c>
      <x:c r="N11" s="44" t="n">
        <x:f>'Scenario inputs'!$P$11</x:f>
        <x:v>30</x:v>
      </x:c>
      <x:c r="O11" s="60" t="n">
        <x:f>IF(M11&lt;=0,"Not attainable",MAX(1,ROUNDUP(N11/M11,0)))</x:f>
        <x:v>2</x:v>
      </x:c>
      <x:c r="P11" s="61" t="n">
        <x:f>IF(C11*(1-'Scenario inputs'!$T$11)-L11&lt;=0,"Not attainable",MAX(1,ROUNDUP(N11/(C11*(1-'Scenario inputs'!$T$11)-L11),0)))</x:f>
        <x:v>5</x:v>
      </x:c>
      <x:c r="Q11" s="64" t="n">
        <x:f>IF(C11=0,"Not defined",M11/C11)</x:f>
        <x:v>0.8443329560553902</x:v>
      </x:c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34" customHeight="1">
      <x:c r="A12" s="30" t="str">
        <x:v>Higher-tax stress</x:v>
      </x:c>
      <x:c r="B12" s="44" t="n">
        <x:f>'Scenario inputs'!$Q$12*('Scenario inputs'!$R$12*'Catalogue'!$B$5*('Scenario inputs'!$U$12/'Scenario inputs'!$V$12/'Scenario inputs'!$W$12)+'Scenario inputs'!$S$12*'Catalogue'!$C$5+(1-'Scenario inputs'!$R$12-'Scenario inputs'!$S$12)*'Catalogue'!$D$5/'Scenario inputs'!$W$12)+(1-'Scenario inputs'!$Q$12)*('Scenario inputs'!$R$12*'Catalogue'!$B$6*('Scenario inputs'!$U$12/'Scenario inputs'!$V$12/'Scenario inputs'!$W$12)+'Scenario inputs'!$S$12*'Catalogue'!$C$6+(1-'Scenario inputs'!$R$12-'Scenario inputs'!$S$12)*'Catalogue'!$D$6/'Scenario inputs'!$W$12)</x:f>
        <x:v>25.49755505952381</x:v>
      </x:c>
      <x:c r="C12" s="44" t="n">
        <x:f>B12*(1-'Scenario inputs'!$C$12)/(1+'Scenario inputs'!$B$12)</x:f>
        <x:v>19.67527870734908</x:v>
      </x:c>
      <x:c r="D12" s="50" t="n">
        <x:f>'Scenario inputs'!$R$12*('Scenario inputs'!$U$12/'Scenario inputs'!$V$12/'Scenario inputs'!$W$12)+'Scenario inputs'!$S$12+(1-'Scenario inputs'!$R$12-'Scenario inputs'!$S$12)/'Scenario inputs'!$W$12</x:f>
        <x:v>1.3188988095238094</x:v>
      </x:c>
      <x:c r="E12" s="50" t="n">
        <x:f>'Scenario inputs'!$Q$12*('Scenario inputs'!$R$12*'Catalogue'!$E$5*('Scenario inputs'!$U$12/'Scenario inputs'!$V$12/'Scenario inputs'!$W$12)+(1-'Scenario inputs'!$R$12)*'Catalogue'!$F$5)+(1-'Scenario inputs'!$Q$12)*('Scenario inputs'!$R$12*'Catalogue'!$E$6*('Scenario inputs'!$U$12/'Scenario inputs'!$V$12/'Scenario inputs'!$W$12)+(1-'Scenario inputs'!$R$12)*'Catalogue'!$F$6)</x:f>
        <x:v>360.7770089285715</x:v>
      </x:c>
      <x:c r="F12" s="44" t="n">
        <x:f>E12*'Scenario inputs'!$L$12*'Scenario inputs'!$M$12</x:f>
        <x:v>3.607770089285715</x:v>
      </x:c>
      <x:c r="G12" s="44" t="n">
        <x:f>'Scenario inputs'!$Q$12*'Scenario inputs'!$N$12+(1-'Scenario inputs'!$Q$12)*'Scenario inputs'!$O$12</x:f>
        <x:v>0.67</x:v>
      </x:c>
      <x:c r="H12" s="44" t="n">
        <x:f>B12*('Scenario inputs'!$D$12+'Scenario inputs'!$E$12+'Scenario inputs'!$F$12)</x:f>
        <x:v>0.7649266517857142</x:v>
      </x:c>
      <x:c r="I12" s="44" t="n">
        <x:f>D12*'Scenario inputs'!$G$12/'Scenario inputs'!$H$12</x:f>
        <x:v>0.2637797619047619</x:v>
      </x:c>
      <x:c r="J12" s="44" t="n">
        <x:f>B12*'Scenario inputs'!$I$12</x:f>
        <x:v>0.12748777529761904</x:v>
      </x:c>
      <x:c r="K12" s="44" t="n">
        <x:f>D12*'Scenario inputs'!$J$12*'Scenario inputs'!$K$12</x:f>
        <x:v>0.02637797619047619</x:v>
      </x:c>
      <x:c r="L12" s="58" t="n">
        <x:f>SUM(F12:K12)</x:f>
        <x:v>5.460342254464287</x:v>
      </x:c>
      <x:c r="M12" s="58" t="n">
        <x:f>C12-L12</x:f>
        <x:v>14.214936452884793</x:v>
      </x:c>
      <x:c r="N12" s="44" t="n">
        <x:f>'Scenario inputs'!$P$12</x:f>
        <x:v>30</x:v>
      </x:c>
      <x:c r="O12" s="60" t="n">
        <x:f>IF(M12&lt;=0,"Not attainable",MAX(1,ROUNDUP(N12/M12,0)))</x:f>
        <x:v>3</x:v>
      </x:c>
      <x:c r="P12" s="61" t="n">
        <x:f>IF(C12*(1-'Scenario inputs'!$T$12)-L12&lt;=0,"Not attainable",MAX(1,ROUNDUP(N12/(C12*(1-'Scenario inputs'!$T$12)-L12),0)))</x:f>
        <x:v>13</x:v>
      </x:c>
      <x:c r="Q12" s="64" t="n">
        <x:f>IF(C12=0,"Not defined",M12/C12)</x:f>
        <x:v>0.7224770060093355</x:v>
      </x:c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34" customHeight="1">
      <x:c r="A13" s="30" t="str">
        <x:v>High payment and service cost</x:v>
      </x:c>
      <x:c r="B13" s="44" t="n">
        <x:f>'Scenario inputs'!$Q$13*('Scenario inputs'!$R$13*'Catalogue'!$B$5*('Scenario inputs'!$U$13/'Scenario inputs'!$V$13/'Scenario inputs'!$W$13)+'Scenario inputs'!$S$13*'Catalogue'!$C$5+(1-'Scenario inputs'!$R$13-'Scenario inputs'!$S$13)*'Catalogue'!$D$5/'Scenario inputs'!$W$13)+(1-'Scenario inputs'!$Q$13)*('Scenario inputs'!$R$13*'Catalogue'!$B$6*('Scenario inputs'!$U$13/'Scenario inputs'!$V$13/'Scenario inputs'!$W$13)+'Scenario inputs'!$S$13*'Catalogue'!$C$6+(1-'Scenario inputs'!$R$13-'Scenario inputs'!$S$13)*'Catalogue'!$D$6/'Scenario inputs'!$W$13)</x:f>
        <x:v>25.49755505952381</x:v>
      </x:c>
      <x:c r="C13" s="44" t="n">
        <x:f>B13*(1-'Scenario inputs'!$C$13)/(1+'Scenario inputs'!$B$13)</x:f>
        <x:v>20.650912362258953</x:v>
      </x:c>
      <x:c r="D13" s="50" t="n">
        <x:f>'Scenario inputs'!$R$13*('Scenario inputs'!$U$13/'Scenario inputs'!$V$13/'Scenario inputs'!$W$13)+'Scenario inputs'!$S$13+(1-'Scenario inputs'!$R$13-'Scenario inputs'!$S$13)/'Scenario inputs'!$W$13</x:f>
        <x:v>1.3188988095238094</x:v>
      </x:c>
      <x:c r="E13" s="50" t="n">
        <x:f>'Scenario inputs'!$Q$13*('Scenario inputs'!$R$13*'Catalogue'!$E$5*('Scenario inputs'!$U$13/'Scenario inputs'!$V$13/'Scenario inputs'!$W$13)+(1-'Scenario inputs'!$R$13)*'Catalogue'!$F$5)+(1-'Scenario inputs'!$Q$13)*('Scenario inputs'!$R$13*'Catalogue'!$E$6*('Scenario inputs'!$U$13/'Scenario inputs'!$V$13/'Scenario inputs'!$W$13)+(1-'Scenario inputs'!$R$13)*'Catalogue'!$F$6)</x:f>
        <x:v>360.7770089285715</x:v>
      </x:c>
      <x:c r="F13" s="44" t="n">
        <x:f>E13*'Scenario inputs'!$L$13*'Scenario inputs'!$M$13</x:f>
        <x:v>3.607770089285715</x:v>
      </x:c>
      <x:c r="G13" s="44" t="n">
        <x:f>'Scenario inputs'!$Q$13*'Scenario inputs'!$N$13+(1-'Scenario inputs'!$Q$13)*'Scenario inputs'!$O$13</x:f>
        <x:v>1.9700000000000002</x:v>
      </x:c>
      <x:c r="H13" s="44" t="n">
        <x:f>B13*('Scenario inputs'!$D$13+'Scenario inputs'!$E$13+'Scenario inputs'!$F$13)</x:f>
        <x:v>1.1091436450892855</x:v>
      </x:c>
      <x:c r="I13" s="44" t="n">
        <x:f>D13*'Scenario inputs'!$G$13/'Scenario inputs'!$H$13</x:f>
        <x:v>0.2637797619047619</x:v>
      </x:c>
      <x:c r="J13" s="44" t="n">
        <x:f>B13*'Scenario inputs'!$I$13</x:f>
        <x:v>0.5099511011904762</x:v>
      </x:c>
      <x:c r="K13" s="44" t="n">
        <x:f>D13*'Scenario inputs'!$J$13*'Scenario inputs'!$K$13</x:f>
        <x:v>0.02637797619047619</x:v>
      </x:c>
      <x:c r="L13" s="58" t="n">
        <x:f>SUM(F13:K13)</x:f>
        <x:v>7.487022573660716</x:v>
      </x:c>
      <x:c r="M13" s="58" t="n">
        <x:f>C13-L13</x:f>
        <x:v>13.163889788598237</x:v>
      </x:c>
      <x:c r="N13" s="44" t="n">
        <x:f>'Scenario inputs'!$P$13</x:f>
        <x:v>80</x:v>
      </x:c>
      <x:c r="O13" s="60" t="n">
        <x:f>IF(M13&lt;=0,"Not attainable",MAX(1,ROUNDUP(N13/M13,0)))</x:f>
        <x:v>7</x:v>
      </x:c>
      <x:c r="P13" s="61" t="n">
        <x:f>IF(C13*(1-'Scenario inputs'!$T$13)-L13&lt;=0,"Not attainable",MAX(1,ROUNDUP(N13/(C13*(1-'Scenario inputs'!$T$13)-L13),0)))</x:f>
        <x:v>104</x:v>
      </x:c>
      <x:c r="Q13" s="64" t="n">
        <x:f>IF(C13=0,"Not defined",M13/C13)</x:f>
        <x:v>0.6374483392150849</x:v>
      </x:c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34" customHeight="1">
      <x:c r="A14" s="30" t="str">
        <x:v>Uncontrolled compute stress</x:v>
      </x:c>
      <x:c r="B14" s="44" t="n">
        <x:f>'Scenario inputs'!$Q$14*('Scenario inputs'!$R$14*'Catalogue'!$B$5*('Scenario inputs'!$U$14/'Scenario inputs'!$V$14/'Scenario inputs'!$W$14)+'Scenario inputs'!$S$14*'Catalogue'!$C$5+(1-'Scenario inputs'!$R$14-'Scenario inputs'!$S$14)*'Catalogue'!$D$5/'Scenario inputs'!$W$14)+(1-'Scenario inputs'!$Q$14)*('Scenario inputs'!$R$14*'Catalogue'!$B$6*('Scenario inputs'!$U$14/'Scenario inputs'!$V$14/'Scenario inputs'!$W$14)+'Scenario inputs'!$S$14*'Catalogue'!$C$6+(1-'Scenario inputs'!$R$14-'Scenario inputs'!$S$14)*'Catalogue'!$D$6/'Scenario inputs'!$W$14)</x:f>
        <x:v>25.49755505952381</x:v>
      </x:c>
      <x:c r="C14" s="44" t="n">
        <x:f>B14*(1-'Scenario inputs'!$C$14)/(1+'Scenario inputs'!$B$14)</x:f>
        <x:v>20.650912362258953</x:v>
      </x:c>
      <x:c r="D14" s="50" t="n">
        <x:f>'Scenario inputs'!$R$14*('Scenario inputs'!$U$14/'Scenario inputs'!$V$14/'Scenario inputs'!$W$14)+'Scenario inputs'!$S$14+(1-'Scenario inputs'!$R$14-'Scenario inputs'!$S$14)/'Scenario inputs'!$W$14</x:f>
        <x:v>1.3188988095238094</x:v>
      </x:c>
      <x:c r="E14" s="50" t="n">
        <x:f>'Scenario inputs'!$Q$14*('Scenario inputs'!$R$14*'Catalogue'!$E$5*('Scenario inputs'!$U$14/'Scenario inputs'!$V$14/'Scenario inputs'!$W$14)+(1-'Scenario inputs'!$R$14)*'Catalogue'!$F$5)+(1-'Scenario inputs'!$Q$14)*('Scenario inputs'!$R$14*'Catalogue'!$E$6*('Scenario inputs'!$U$14/'Scenario inputs'!$V$14/'Scenario inputs'!$W$14)+(1-'Scenario inputs'!$R$14)*'Catalogue'!$F$6)</x:f>
        <x:v>360.7770089285715</x:v>
      </x:c>
      <x:c r="F14" s="44" t="n">
        <x:f>E14*'Scenario inputs'!$L$14*'Scenario inputs'!$M$14</x:f>
        <x:v>10.823310267857144</x:v>
      </x:c>
      <x:c r="G14" s="44" t="n">
        <x:f>'Scenario inputs'!$Q$14*'Scenario inputs'!$N$14+(1-'Scenario inputs'!$Q$14)*'Scenario inputs'!$O$14</x:f>
        <x:v>0.67</x:v>
      </x:c>
      <x:c r="H14" s="44" t="n">
        <x:f>B14*('Scenario inputs'!$D$14+'Scenario inputs'!$E$14+'Scenario inputs'!$F$14)</x:f>
        <x:v>0.7649266517857142</x:v>
      </x:c>
      <x:c r="I14" s="44" t="n">
        <x:f>D14*'Scenario inputs'!$G$14/'Scenario inputs'!$H$14</x:f>
        <x:v>0.2637797619047619</x:v>
      </x:c>
      <x:c r="J14" s="44" t="n">
        <x:f>B14*'Scenario inputs'!$I$14</x:f>
        <x:v>0.12748777529761904</x:v>
      </x:c>
      <x:c r="K14" s="44" t="n">
        <x:f>D14*'Scenario inputs'!$J$14*'Scenario inputs'!$K$14</x:f>
        <x:v>0.02637797619047619</x:v>
      </x:c>
      <x:c r="L14" s="58" t="n">
        <x:f>SUM(F14:K14)</x:f>
        <x:v>12.675882433035714</x:v>
      </x:c>
      <x:c r="M14" s="58" t="n">
        <x:f>C14-L14</x:f>
        <x:v>7.97502992922324</x:v>
      </x:c>
      <x:c r="N14" s="44" t="n">
        <x:f>'Scenario inputs'!$P$14</x:f>
        <x:v>30</x:v>
      </x:c>
      <x:c r="O14" s="60" t="n">
        <x:f>IF(M14&lt;=0,"Not attainable",MAX(1,ROUNDUP(N14/M14,0)))</x:f>
        <x:v>4</x:v>
      </x:c>
      <x:c r="P14" s="61" t="str">
        <x:f>IF(C14*(1-'Scenario inputs'!$T$14)-L14&lt;=0,"Not attainable",MAX(1,ROUNDUP(N14/(C14*(1-'Scenario inputs'!$T$14)-L14),0)))</x:f>
        <x:v>Not attainable</x:v>
      </x:c>
      <x:c r="Q14" s="64" t="n">
        <x:f>IF(C14=0,"Not defined",M14/C14)</x:f>
        <x:v>0.386182934164119</x:v>
      </x:c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Base scenario by customer count</x:v>
      </x:c>
      <x:c r="B1" s="5"/>
      <x:c r="C1" s="5"/>
      <x:c r="D1" s="5"/>
      <x:c r="E1" s="5"/>
      <x:c r="F1" s="5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Monthly normalized revenue, not annual cash collected. Changing base inputs updates these formulas.</x:v>
      </x:c>
      <x:c r="B2" s="10"/>
      <x:c r="C2" s="10"/>
      <x:c r="D2" s="10"/>
      <x:c r="E2" s="10"/>
      <x:c r="F2" s="10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Paying users</x:v>
      </x:c>
      <x:c r="B4" s="16" t="str">
        <x:v>Net revenue EUR</x:v>
      </x:c>
      <x:c r="C4" s="16" t="str">
        <x:v>Variable EUR</x:v>
      </x:c>
      <x:c r="D4" s="16" t="str">
        <x:v>Fixed EUR</x:v>
      </x:c>
      <x:c r="E4" s="16" t="str">
        <x:v>Profit EUR</x:v>
      </x:c>
      <x:c r="F4" s="16" t="str">
        <x:v>Operating margin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20" customHeight="1">
      <x:c r="A5" s="20" t="n">
        <x:v>0</x:v>
      </x:c>
      <x:c r="B5" s="44" t="n">
        <x:f>A5*'Scenarios'!$C$5</x:f>
        <x:v>0</x:v>
      </x:c>
      <x:c r="C5" s="44" t="n">
        <x:f>A5*'Scenarios'!$L$5</x:f>
        <x:v>0</x:v>
      </x:c>
      <x:c r="D5" s="44" t="n">
        <x:f>'Scenarios'!$N$5</x:f>
        <x:v>30</x:v>
      </x:c>
      <x:c r="E5" s="58" t="n">
        <x:f>B5-C5-D5</x:f>
        <x:v>-30</x:v>
      </x:c>
      <x:c r="F5" s="64" t="str">
        <x:f>IF(B5=0,"Not defined",E5/B5)</x:f>
        <x:v>Not defined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20" customHeight="1">
      <x:c r="A6" s="20" t="n">
        <x:v>1</x:v>
      </x:c>
      <x:c r="B6" s="44" t="n">
        <x:f>A6*'Scenarios'!$C$5</x:f>
        <x:v>20.650912362258953</x:v>
      </x:c>
      <x:c r="C6" s="44" t="n">
        <x:f>A6*'Scenarios'!$L$5</x:f>
        <x:v>4.0172342187500005</x:v>
      </x:c>
      <x:c r="D6" s="44" t="n">
        <x:f>'Scenarios'!$N$5</x:f>
        <x:v>30</x:v>
      </x:c>
      <x:c r="E6" s="58" t="n">
        <x:f>B6-C6-D6</x:f>
        <x:v>-13.366321856491048</x:v>
      </x:c>
      <x:c r="F6" s="64" t="n">
        <x:f>IF(B6=0,"Not defined",E6/B6)</x:f>
        <x:v>-0.6472509118250376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20" customHeight="1">
      <x:c r="A7" s="20" t="n">
        <x:v>5</x:v>
      </x:c>
      <x:c r="B7" s="44" t="n">
        <x:f>A7*'Scenarios'!$C$5</x:f>
        <x:v>103.25456181129476</x:v>
      </x:c>
      <x:c r="C7" s="44" t="n">
        <x:f>A7*'Scenarios'!$L$5</x:f>
        <x:v>20.086171093750004</x:v>
      </x:c>
      <x:c r="D7" s="44" t="n">
        <x:f>'Scenarios'!$N$5</x:f>
        <x:v>30</x:v>
      </x:c>
      <x:c r="E7" s="58" t="n">
        <x:f>B7-C7-D7</x:f>
        <x:v>53.16839071754475</x:v>
      </x:c>
      <x:c r="F7" s="64" t="n">
        <x:f>IF(B7=0,"Not defined",E7/B7)</x:f>
        <x:v>0.514925343586406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20" customHeight="1">
      <x:c r="A8" s="20" t="n">
        <x:v>10</x:v>
      </x:c>
      <x:c r="B8" s="44" t="n">
        <x:f>A8*'Scenarios'!$C$5</x:f>
        <x:v>206.50912362258953</x:v>
      </x:c>
      <x:c r="C8" s="44" t="n">
        <x:f>A8*'Scenarios'!$L$5</x:f>
        <x:v>40.17234218750001</x:v>
      </x:c>
      <x:c r="D8" s="44" t="n">
        <x:f>'Scenarios'!$N$5</x:f>
        <x:v>30</x:v>
      </x:c>
      <x:c r="E8" s="58" t="n">
        <x:f>B8-C8-D8</x:f>
        <x:v>136.3367814350895</x:v>
      </x:c>
      <x:c r="F8" s="64" t="n">
        <x:f>IF(B8=0,"Not defined",E8/B8)</x:f>
        <x:v>0.6601973755128364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20" customHeight="1">
      <x:c r="A9" s="20" t="n">
        <x:v>25</x:v>
      </x:c>
      <x:c r="B9" s="44" t="n">
        <x:f>A9*'Scenarios'!$C$5</x:f>
        <x:v>516.2728090564739</x:v>
      </x:c>
      <x:c r="C9" s="44" t="n">
        <x:f>A9*'Scenarios'!$L$5</x:f>
        <x:v>100.43085546875001</x:v>
      </x:c>
      <x:c r="D9" s="44" t="n">
        <x:f>'Scenarios'!$N$5</x:f>
        <x:v>30</x:v>
      </x:c>
      <x:c r="E9" s="58" t="n">
        <x:f>B9-C9-D9</x:f>
        <x:v>385.8419535877239</x:v>
      </x:c>
      <x:c r="F9" s="64" t="n">
        <x:f>IF(B9=0,"Not defined",E9/B9)</x:f>
        <x:v>0.7473605946686949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20" customHeight="1">
      <x:c r="A10" s="20" t="n">
        <x:v>50</x:v>
      </x:c>
      <x:c r="B10" s="44" t="n">
        <x:f>A10*'Scenarios'!$C$5</x:f>
        <x:v>1032.5456181129477</x:v>
      </x:c>
      <x:c r="C10" s="44" t="n">
        <x:f>A10*'Scenarios'!$L$5</x:f>
        <x:v>200.86171093750002</x:v>
      </x:c>
      <x:c r="D10" s="44" t="n">
        <x:f>'Scenarios'!$N$5</x:f>
        <x:v>30</x:v>
      </x:c>
      <x:c r="E10" s="58" t="n">
        <x:f>B10-C10-D10</x:f>
        <x:v>801.6839071754478</x:v>
      </x:c>
      <x:c r="F10" s="64" t="n">
        <x:f>IF(B10=0,"Not defined",E10/B10)</x:f>
        <x:v>0.776415001053981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20" customHeight="1">
      <x:c r="A11" s="20" t="n">
        <x:v>100</x:v>
      </x:c>
      <x:c r="B11" s="44" t="n">
        <x:f>A11*'Scenarios'!$C$5</x:f>
        <x:v>2065.0912362258955</x:v>
      </x:c>
      <x:c r="C11" s="44" t="n">
        <x:f>A11*'Scenarios'!$L$5</x:f>
        <x:v>401.72342187500004</x:v>
      </x:c>
      <x:c r="D11" s="44" t="n">
        <x:f>'Scenarios'!$N$5</x:f>
        <x:v>30</x:v>
      </x:c>
      <x:c r="E11" s="58" t="n">
        <x:f>B11-C11-D11</x:f>
        <x:v>1633.3678143508955</x:v>
      </x:c>
      <x:c r="F11" s="64" t="n">
        <x:f>IF(B11=0,"Not defined",E11/B11)</x:f>
        <x:v>0.790942204246624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20" customHeight="1">
      <x:c r="A12" s="20" t="n">
        <x:v>250</x:v>
      </x:c>
      <x:c r="B12" s="44" t="n">
        <x:f>A12*'Scenarios'!$C$5</x:f>
        <x:v>5162.7280905647385</x:v>
      </x:c>
      <x:c r="C12" s="44" t="n">
        <x:f>A12*'Scenarios'!$L$5</x:f>
        <x:v>1004.3085546875001</x:v>
      </x:c>
      <x:c r="D12" s="44" t="n">
        <x:f>'Scenarios'!$N$5</x:f>
        <x:v>30</x:v>
      </x:c>
      <x:c r="E12" s="58" t="n">
        <x:f>B12-C12-D12</x:f>
        <x:v>4128.419535877239</x:v>
      </x:c>
      <x:c r="F12" s="64" t="n">
        <x:f>IF(B12=0,"Not defined",E12/B12)</x:f>
        <x:v>0.7996585261622098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20" customHeight="1">
      <x:c r="A13" s="20" t="n">
        <x:v>500</x:v>
      </x:c>
      <x:c r="B13" s="44" t="n">
        <x:f>A13*'Scenarios'!$C$5</x:f>
        <x:v>10325.456181129477</x:v>
      </x:c>
      <x:c r="C13" s="44" t="n">
        <x:f>A13*'Scenarios'!$L$5</x:f>
        <x:v>2008.6171093750002</x:v>
      </x:c>
      <x:c r="D13" s="44" t="n">
        <x:f>'Scenarios'!$N$5</x:f>
        <x:v>30</x:v>
      </x:c>
      <x:c r="E13" s="58" t="n">
        <x:f>B13-C13-D13</x:f>
        <x:v>8286.839071754477</x:v>
      </x:c>
      <x:c r="F13" s="64" t="n">
        <x:f>IF(B13=0,"Not defined",E13/B13)</x:f>
        <x:v>0.8025639668007385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F1"/>
    <x:mergeCell ref="A2:F2"/>
  </x:mergeCells>
  <x:conditionalFormatting sqref="E5:E13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4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Illustrative source-processing quote</x:v>
      </x:c>
      <x:c r="B1" s="5"/>
      <x:c r="C1" s="5"/>
      <x:c r="D1" s="5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90-second example under editable assumptions. Excludes repository matching, plan generation, and coding.</x:v>
      </x:c>
      <x:c r="B2" s="10"/>
      <x:c r="C2" s="10"/>
      <x:c r="D2" s="10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Cost component</x:v>
      </x:c>
      <x:c r="B4" s="16" t="str">
        <x:v>USD / EUR / credits</x:v>
      </x:c>
      <x:c r="C4" s="16" t="str">
        <x:v>Unit</x:v>
      </x:c>
      <x:c r="D4" s="16" t="str">
        <x:v>Basis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36" customHeight="1">
      <x:c r="A5" s="30" t="str">
        <x:v>Transcription</x:v>
      </x:c>
      <x:c r="B5" s="70" t="n">
        <x:f>'Assumptions'!$B$35*'Assumptions'!$B$30</x:f>
        <x:v>0.0045000000000000005</x:v>
      </x:c>
      <x:c r="C5" s="30" t="str">
        <x:v>USD</x:v>
      </x:c>
      <x:c r="D5" s="30" t="str">
        <x:v>Audio minutes × published estimated rate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36" customHeight="1">
      <x:c r="A6" s="30" t="str">
        <x:v>Visual/source inference</x:v>
      </x:c>
      <x:c r="B6" s="70" t="n">
        <x:f>('Assumptions'!$B$36*'Assumptions'!$B$31+'Assumptions'!$B$37*'Assumptions'!$B$32)/1000000</x:f>
        <x:v>0.01575</x:v>
      </x:c>
      <x:c r="C6" s="30" t="str">
        <x:v>USD</x:v>
      </x:c>
      <x:c r="D6" s="30" t="str">
        <x:v>Budgeted image/text input and output tokens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36" customHeight="1">
      <x:c r="A7" s="30" t="str">
        <x:v>Sandbox preparation</x:v>
      </x:c>
      <x:c r="B7" s="70" t="n">
        <x:f>'Assumptions'!$B$38*('Assumptions'!$B$39*'Assumptions'!$B$33+'Assumptions'!$B$40*'Assumptions'!$B$34)</x:f>
        <x:v>0.00195</x:v>
      </x:c>
      <x:c r="C7" s="30" t="str">
        <x:v>USD</x:v>
      </x:c>
      <x:c r="D7" s="30" t="str">
        <x:v>Bounded CPU and memory estimate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36" customHeight="1">
      <x:c r="A8" s="30" t="str">
        <x:v>Other job charges</x:v>
      </x:c>
      <x:c r="B8" s="70" t="n">
        <x:f>'Assumptions'!$B$41</x:f>
        <x:v>0.002</x:v>
      </x:c>
      <x:c r="C8" s="30" t="str">
        <x:v>USD</x:v>
      </x:c>
      <x:c r="D8" s="30" t="str">
        <x:v>Unmeasured minimum/storage/network reserve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36" customHeight="1">
      <x:c r="A9" s="30" t="str">
        <x:v>Provider subtotal</x:v>
      </x:c>
      <x:c r="B9" s="71" t="n">
        <x:f>SUM(B5:B8)</x:f>
        <x:v>0.0242</x:v>
      </x:c>
      <x:c r="C9" s="30" t="str">
        <x:v>USD</x:v>
      </x:c>
      <x:c r="D9" s="30" t="str">
        <x:v>Sum before scenario FX and tax buffer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36" customHeight="1">
      <x:c r="A10" s="30" t="str">
        <x:v>Buffered estimate</x:v>
      </x:c>
      <x:c r="B10" s="70" t="n">
        <x:f>B9*'Assumptions'!$B$27*(1+'Assumptions'!$B$28)*(1+'Assumptions'!$B$29)</x:f>
        <x:v>0.031624559999999996</x:v>
      </x:c>
      <x:c r="C10" s="30" t="str">
        <x:v>EUR</x:v>
      </x:c>
      <x:c r="D10" s="30" t="str">
        <x:v>Conservative supplier tax and retry scenario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36" customHeight="1">
      <x:c r="A11" s="30" t="str">
        <x:v>Quoted credits</x:v>
      </x:c>
      <x:c r="B11" s="72" t="n">
        <x:f>ROUNDUP(B10/'Assumptions'!$B$15,0)</x:f>
        <x:v>4</x:v>
      </x:c>
      <x:c r="C11" s="30" t="str">
        <x:v>credits</x:v>
      </x:c>
      <x:c r="D11" s="30" t="str">
        <x:v>Round once at job quote boundary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D1"/>
    <x:mergeCell ref="A2:D2"/>
  </x:mergeCells>
  <x:pageMargins left="0.7" right="0.7" top="0.75" bottom="0.75" header="0.3" footer="0.3"/>
</x:worksheet>
</file>